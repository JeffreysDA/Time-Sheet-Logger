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canet\home\19yh8fx2\My Documents\Time Sheet Logger\"/>
    </mc:Choice>
  </mc:AlternateContent>
  <xr:revisionPtr revIDLastSave="0" documentId="13_ncr:1_{0D9AA97F-9A08-4199-93B1-B3C71401BFED}" xr6:coauthVersionLast="45" xr6:coauthVersionMax="47" xr10:uidLastSave="{00000000-0000-0000-0000-000000000000}"/>
  <workbookProtection lockStructure="1"/>
  <bookViews>
    <workbookView xWindow="28680" yWindow="-120" windowWidth="29040" windowHeight="17640" xr2:uid="{00000000-000D-0000-FFFF-FFFF00000000}"/>
  </bookViews>
  <sheets>
    <sheet name="Welcome" sheetId="3" r:id="rId1"/>
    <sheet name="Logs" sheetId="1" state="veryHidden" r:id="rId2"/>
    <sheet name="Hidden" sheetId="2" state="veryHidden" r:id="rId3"/>
    <sheet name="DevMode" sheetId="4" state="veryHidden" r:id="rId4"/>
  </sheets>
  <functionGroups builtInGroupCount="19"/>
  <definedNames>
    <definedName name="LogType">OFFSET(DevMode!$A$2,0,0,COUNTIF(DevMode!$A$2:$A$51,"&lt;&gt;"))</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4" i="2" l="1"/>
  <c r="B4" i="2"/>
  <c r="F4" i="2"/>
  <c r="G4" i="2"/>
  <c r="A5" i="2"/>
  <c r="B5" i="2"/>
  <c r="F5" i="2"/>
  <c r="G5" i="2"/>
  <c r="A6" i="2"/>
  <c r="B6" i="2"/>
  <c r="F6" i="2"/>
  <c r="G6" i="2"/>
  <c r="A7" i="2"/>
  <c r="B7" i="2"/>
  <c r="F7" i="2"/>
  <c r="G7" i="2"/>
  <c r="A8" i="2"/>
  <c r="B8" i="2"/>
  <c r="F8" i="2"/>
  <c r="G8" i="2"/>
  <c r="A9" i="2"/>
  <c r="B9" i="2"/>
  <c r="F9" i="2"/>
  <c r="G9" i="2"/>
  <c r="A10" i="2"/>
  <c r="B10" i="2"/>
  <c r="F10" i="2"/>
  <c r="G10" i="2"/>
  <c r="A11" i="2"/>
  <c r="B11" i="2"/>
  <c r="F11" i="2"/>
  <c r="G11" i="2"/>
  <c r="A12" i="2"/>
  <c r="B12" i="2"/>
  <c r="F12" i="2"/>
  <c r="G12" i="2"/>
  <c r="A13" i="2"/>
  <c r="B13" i="2"/>
  <c r="F13" i="2"/>
  <c r="G13" i="2"/>
  <c r="A14" i="2"/>
  <c r="B14" i="2"/>
  <c r="F14" i="2"/>
  <c r="G14" i="2"/>
  <c r="A15" i="2"/>
  <c r="B15" i="2"/>
  <c r="F15" i="2"/>
  <c r="G15" i="2"/>
  <c r="A16" i="2"/>
  <c r="B16" i="2"/>
  <c r="F16" i="2"/>
  <c r="G16" i="2"/>
  <c r="A17" i="2"/>
  <c r="B17" i="2"/>
  <c r="F17" i="2"/>
  <c r="G17" i="2"/>
  <c r="A18" i="2"/>
  <c r="B18" i="2"/>
  <c r="F18" i="2"/>
  <c r="G18" i="2"/>
  <c r="A19" i="2"/>
  <c r="B19" i="2"/>
  <c r="F19" i="2"/>
  <c r="G19" i="2"/>
  <c r="A20" i="2"/>
  <c r="B20" i="2"/>
  <c r="F20" i="2"/>
  <c r="G20" i="2"/>
  <c r="A21" i="2"/>
  <c r="B21" i="2"/>
  <c r="F21" i="2"/>
  <c r="G21" i="2"/>
  <c r="A22" i="2"/>
  <c r="B22" i="2"/>
  <c r="F22" i="2"/>
  <c r="G22" i="2"/>
  <c r="A23" i="2"/>
  <c r="B23" i="2"/>
  <c r="F23" i="2"/>
  <c r="G23" i="2"/>
  <c r="A24" i="2"/>
  <c r="B24" i="2"/>
  <c r="F24" i="2"/>
  <c r="G24" i="2"/>
  <c r="A25" i="2"/>
  <c r="B25" i="2"/>
  <c r="F25" i="2"/>
  <c r="G25" i="2"/>
  <c r="A26" i="2"/>
  <c r="B26" i="2"/>
  <c r="F26" i="2"/>
  <c r="G26" i="2"/>
  <c r="A27" i="2"/>
  <c r="B27" i="2"/>
  <c r="F27" i="2"/>
  <c r="G27" i="2"/>
  <c r="A28" i="2"/>
  <c r="B28" i="2"/>
  <c r="F28" i="2"/>
  <c r="G28" i="2"/>
  <c r="A29" i="2"/>
  <c r="B29" i="2"/>
  <c r="F29" i="2"/>
  <c r="G29" i="2"/>
  <c r="A30" i="2"/>
  <c r="B30" i="2"/>
  <c r="F30" i="2"/>
  <c r="G30" i="2"/>
  <c r="A31" i="2"/>
  <c r="B31" i="2"/>
  <c r="F31" i="2"/>
  <c r="G31" i="2"/>
  <c r="A32" i="2"/>
  <c r="B32" i="2"/>
  <c r="F32" i="2"/>
  <c r="G32" i="2"/>
  <c r="A33" i="2"/>
  <c r="B33" i="2"/>
  <c r="F33" i="2"/>
  <c r="G33" i="2"/>
  <c r="A34" i="2"/>
  <c r="B34" i="2"/>
  <c r="F34" i="2"/>
  <c r="G34" i="2"/>
  <c r="A35" i="2"/>
  <c r="B35" i="2"/>
  <c r="F35" i="2"/>
  <c r="G35" i="2"/>
  <c r="A36" i="2"/>
  <c r="B36" i="2"/>
  <c r="F36" i="2"/>
  <c r="G36" i="2"/>
  <c r="A37" i="2"/>
  <c r="B37" i="2"/>
  <c r="F37" i="2"/>
  <c r="G37" i="2"/>
  <c r="A38" i="2"/>
  <c r="B38" i="2"/>
  <c r="F38" i="2"/>
  <c r="G38" i="2"/>
  <c r="A39" i="2"/>
  <c r="B39" i="2"/>
  <c r="F39" i="2"/>
  <c r="G39" i="2"/>
  <c r="A40" i="2"/>
  <c r="B40" i="2"/>
  <c r="F40" i="2"/>
  <c r="G40" i="2"/>
  <c r="A41" i="2"/>
  <c r="B41" i="2"/>
  <c r="F41" i="2"/>
  <c r="G41" i="2"/>
  <c r="A42" i="2"/>
  <c r="B42" i="2"/>
  <c r="F42" i="2"/>
  <c r="G42" i="2"/>
  <c r="A43" i="2"/>
  <c r="B43" i="2"/>
  <c r="F43" i="2"/>
  <c r="G43" i="2"/>
  <c r="A44" i="2"/>
  <c r="B44" i="2"/>
  <c r="F44" i="2"/>
  <c r="G44" i="2"/>
  <c r="A45" i="2"/>
  <c r="B45" i="2"/>
  <c r="F45" i="2"/>
  <c r="G45" i="2"/>
  <c r="A46" i="2"/>
  <c r="B46" i="2"/>
  <c r="F46" i="2"/>
  <c r="G46" i="2"/>
  <c r="A47" i="2"/>
  <c r="B47" i="2"/>
  <c r="F47" i="2"/>
  <c r="G47" i="2"/>
  <c r="A48" i="2"/>
  <c r="B48" i="2"/>
  <c r="F48" i="2"/>
  <c r="G48" i="2"/>
  <c r="A49" i="2"/>
  <c r="B49" i="2"/>
  <c r="F49" i="2"/>
  <c r="G49" i="2"/>
  <c r="A50" i="2"/>
  <c r="B50" i="2"/>
  <c r="F50" i="2"/>
  <c r="G50" i="2"/>
  <c r="A51" i="2"/>
  <c r="B51" i="2"/>
  <c r="F51" i="2"/>
  <c r="G51" i="2"/>
  <c r="D51" i="1" l="1"/>
  <c r="D50" i="1"/>
  <c r="C50" i="2" s="1"/>
  <c r="A64" i="1" a="1"/>
  <c r="A64" i="1" s="1"/>
  <c r="A3" i="2"/>
  <c r="B3" i="2"/>
  <c r="F3" i="2"/>
  <c r="G3" i="2"/>
  <c r="D4" i="1"/>
  <c r="D5" i="1"/>
  <c r="D6" i="1"/>
  <c r="D7" i="1"/>
  <c r="D10" i="1"/>
  <c r="D11" i="1"/>
  <c r="D14" i="1"/>
  <c r="D15" i="1"/>
  <c r="D18" i="1"/>
  <c r="D19" i="1"/>
  <c r="D22" i="1"/>
  <c r="D23" i="1"/>
  <c r="D26" i="1"/>
  <c r="D27" i="1"/>
  <c r="D30" i="1"/>
  <c r="D31" i="1"/>
  <c r="D38" i="1"/>
  <c r="D39" i="1"/>
  <c r="D40" i="1"/>
  <c r="D41" i="1"/>
  <c r="D42" i="1"/>
  <c r="D43" i="1"/>
  <c r="D44" i="1"/>
  <c r="D45" i="1"/>
  <c r="D46" i="1"/>
  <c r="D47" i="1"/>
  <c r="C47" i="2" s="1"/>
  <c r="D48" i="1"/>
  <c r="D49" i="1"/>
  <c r="C49" i="2" s="1"/>
  <c r="B75" i="1"/>
  <c r="C75" i="1" s="1"/>
  <c r="B76" i="1"/>
  <c r="C76" i="1" s="1"/>
  <c r="B77" i="1"/>
  <c r="C77" i="1" s="1"/>
  <c r="B78" i="1"/>
  <c r="C78" i="1" s="1"/>
  <c r="C48" i="2" l="1"/>
  <c r="E42" i="1"/>
  <c r="C42" i="2"/>
  <c r="E26" i="1"/>
  <c r="C26" i="2"/>
  <c r="E18" i="1"/>
  <c r="C18" i="2"/>
  <c r="E10" i="1"/>
  <c r="C10" i="2"/>
  <c r="E41" i="1"/>
  <c r="C41" i="2"/>
  <c r="E23" i="1"/>
  <c r="C23" i="2"/>
  <c r="E15" i="1"/>
  <c r="C15" i="2"/>
  <c r="E44" i="1"/>
  <c r="C44" i="2"/>
  <c r="E40" i="1"/>
  <c r="C40" i="2"/>
  <c r="E30" i="1"/>
  <c r="C30" i="2"/>
  <c r="E22" i="1"/>
  <c r="C22" i="2"/>
  <c r="E14" i="1"/>
  <c r="C14" i="2"/>
  <c r="E6" i="1"/>
  <c r="C6" i="2"/>
  <c r="E46" i="1"/>
  <c r="C46" i="2"/>
  <c r="E38" i="1"/>
  <c r="C38" i="2"/>
  <c r="E45" i="1"/>
  <c r="C45" i="2"/>
  <c r="E31" i="1"/>
  <c r="C31" i="2"/>
  <c r="E7" i="1"/>
  <c r="C7" i="2" s="1"/>
  <c r="E43" i="1"/>
  <c r="C43" i="2"/>
  <c r="E39" i="1"/>
  <c r="C39" i="2"/>
  <c r="E27" i="1"/>
  <c r="C27" i="2"/>
  <c r="E19" i="1"/>
  <c r="C19" i="2" s="1"/>
  <c r="E11" i="1"/>
  <c r="C11" i="2"/>
  <c r="E5" i="1"/>
  <c r="C5" i="2"/>
  <c r="E48" i="1"/>
  <c r="E47" i="1"/>
  <c r="E50" i="1"/>
  <c r="E49" i="1"/>
  <c r="D33" i="1"/>
  <c r="C33" i="2" s="1"/>
  <c r="D32" i="1"/>
  <c r="D28" i="1"/>
  <c r="C28" i="2" s="1"/>
  <c r="D24" i="1"/>
  <c r="C24" i="2" s="1"/>
  <c r="D20" i="1"/>
  <c r="C20" i="2" s="1"/>
  <c r="D16" i="1"/>
  <c r="C16" i="2" s="1"/>
  <c r="D12" i="1"/>
  <c r="D8" i="1"/>
  <c r="D37" i="1"/>
  <c r="C37" i="2" s="1"/>
  <c r="D36" i="1"/>
  <c r="D35" i="1"/>
  <c r="D34" i="1"/>
  <c r="D29" i="1"/>
  <c r="C29" i="2" s="1"/>
  <c r="D25" i="1"/>
  <c r="C25" i="2" s="1"/>
  <c r="D21" i="1"/>
  <c r="C21" i="2" s="1"/>
  <c r="D17" i="1"/>
  <c r="D13" i="1"/>
  <c r="C13" i="2" s="1"/>
  <c r="D9" i="1"/>
  <c r="B66" i="1"/>
  <c r="C66" i="1" s="1"/>
  <c r="B67" i="1"/>
  <c r="C67" i="1" s="1"/>
  <c r="B68" i="1"/>
  <c r="C68" i="1" s="1"/>
  <c r="B69" i="1"/>
  <c r="C69" i="1" s="1"/>
  <c r="B70" i="1"/>
  <c r="C70" i="1" s="1"/>
  <c r="B71" i="1"/>
  <c r="C71" i="1" s="1"/>
  <c r="B72" i="1"/>
  <c r="C72" i="1" s="1"/>
  <c r="B73" i="1"/>
  <c r="C73" i="1" s="1"/>
  <c r="B74" i="1"/>
  <c r="C74" i="1" s="1"/>
  <c r="B79" i="1"/>
  <c r="C79" i="1" s="1"/>
  <c r="B80" i="1"/>
  <c r="C80" i="1" s="1"/>
  <c r="B81" i="1"/>
  <c r="C81" i="1" s="1"/>
  <c r="B82" i="1"/>
  <c r="C82" i="1" s="1"/>
  <c r="B83" i="1"/>
  <c r="C83" i="1" s="1"/>
  <c r="C8" i="2" l="1"/>
  <c r="C9" i="2"/>
  <c r="C17" i="2"/>
  <c r="E36" i="1"/>
  <c r="C36" i="2"/>
  <c r="E32" i="1"/>
  <c r="C32" i="2"/>
  <c r="E34" i="1"/>
  <c r="C34" i="2"/>
  <c r="E35" i="1"/>
  <c r="C35" i="2"/>
  <c r="E13" i="1"/>
  <c r="E37" i="1"/>
  <c r="E20" i="1"/>
  <c r="E29" i="1"/>
  <c r="E12" i="1"/>
  <c r="C12" i="2" s="1"/>
  <c r="E28" i="1"/>
  <c r="E17" i="1"/>
  <c r="E21" i="1"/>
  <c r="E8" i="1"/>
  <c r="E16" i="1"/>
  <c r="E24" i="1"/>
  <c r="E9" i="1"/>
  <c r="E25" i="1"/>
  <c r="E33" i="1"/>
  <c r="F52" i="1"/>
  <c r="B2" i="2" l="1"/>
  <c r="A2" i="2"/>
  <c r="G2" i="2"/>
  <c r="C52" i="1" s="1"/>
  <c r="F2" i="2"/>
  <c r="B52" i="1" s="1"/>
  <c r="D3" i="1" l="1"/>
  <c r="D2" i="1"/>
  <c r="B64" i="1" s="1"/>
  <c r="C64" i="1" s="1"/>
  <c r="B65" i="1" l="1"/>
  <c r="E3" i="1"/>
  <c r="C3" i="2" s="1"/>
  <c r="E2" i="1"/>
  <c r="C2" i="2" s="1"/>
  <c r="E4" i="1"/>
  <c r="C4" i="2" s="1"/>
  <c r="C65" i="1" l="1"/>
  <c r="C84" i="1" s="1"/>
  <c r="B84" i="1"/>
  <c r="F52" i="2"/>
  <c r="A52" i="2"/>
  <c r="G52" i="2"/>
  <c r="B52" i="2"/>
  <c r="A54" i="2" l="1"/>
  <c r="C53" i="2"/>
  <c r="D52" i="1"/>
  <c r="E52" i="1" s="1"/>
  <c r="C52" i="2" s="1"/>
  <c r="E51" i="1"/>
  <c r="C51" i="2"/>
  <c r="C54"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tc={CC9C58FD-CAE9-407B-8805-926CC5E24A1C}</author>
  </authors>
  <commentList>
    <comment ref="F52" authorId="0" shapeId="0" xr:uid="{CC9C58FD-CAE9-407B-8805-926CC5E24A1C}">
      <text>
        <t>[Threaded comment]
Your version of Excel allows you to read this threaded comment; however, any edits to it will get removed if the file is opened in a newer version of Excel. Learn more: https://go.microsoft.com/fwlink/?linkid=870924
Comment:
    Website:
https://github.com/JeffreysDA
Contact:
jeffreysda@gmail.com</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<sst xmlns="http://schemas.openxmlformats.org/spreadsheetml/2006/main" count="62" uniqueCount="49">
  <si>
    <t>WHOLE DAY</t>
  </si>
  <si>
    <t>Lunch Break</t>
  </si>
  <si>
    <t>Password</t>
  </si>
  <si>
    <t>Description</t>
  </si>
  <si>
    <t>Start</t>
  </si>
  <si>
    <t>End</t>
  </si>
  <si>
    <t>Time Entry</t>
  </si>
  <si>
    <t>Start (H)</t>
  </si>
  <si>
    <t>End (H)</t>
  </si>
  <si>
    <t>Log Entry (H)</t>
  </si>
  <si>
    <t>Scrap Entry (H)</t>
  </si>
  <si>
    <t>Scrap Note (H)</t>
  </si>
  <si>
    <t>Start as Num</t>
  </si>
  <si>
    <t>End as Num</t>
  </si>
  <si>
    <r>
      <rPr>
        <b/>
        <sz val="11"/>
        <color rgb="FFFF0000"/>
        <rFont val="Calibri"/>
        <family val="2"/>
        <scheme val="minor"/>
      </rPr>
      <t>IMPORTANT! READ ALL INSTRUCTIONS BEFORE YOU CONTINUE!</t>
    </r>
    <r>
      <rPr>
        <sz val="11"/>
        <color theme="1"/>
        <rFont val="Calibri"/>
        <family val="2"/>
        <scheme val="minor"/>
      </rPr>
      <t xml:space="preserve">
</t>
    </r>
    <r>
      <rPr>
        <i/>
        <sz val="11"/>
        <color theme="1"/>
        <rFont val="Calibri"/>
        <family val="2"/>
        <scheme val="minor"/>
      </rPr>
      <t>Macros might not be able to run or be utilized as required if this document is located on or opened from a network drive such as SharePoint or Share Drive, nor if this was opened directly from your email as an attachment. It is strongly recommended to save this document to a location on your local machine, such as your Desktop, or Documents folder, then close and reopen it from that location. Once you have opened a local copy of this document, you will need to enable Macros by following the steps below.</t>
    </r>
    <r>
      <rPr>
        <sz val="11"/>
        <color theme="1"/>
        <rFont val="Calibri"/>
        <family val="2"/>
        <scheme val="minor"/>
      </rPr>
      <t xml:space="preserve">
</t>
    </r>
    <r>
      <rPr>
        <b/>
        <sz val="11"/>
        <color theme="1"/>
        <rFont val="Calibri"/>
        <family val="2"/>
        <scheme val="minor"/>
      </rPr>
      <t>Method 1:</t>
    </r>
    <r>
      <rPr>
        <sz val="11"/>
        <color theme="1"/>
        <rFont val="Calibri"/>
        <family val="2"/>
        <scheme val="minor"/>
      </rPr>
      <t xml:space="preserve">
Towards the top left corner, you should see the yellow banner as shown in Figure 1 (to the right). Click “Enable Content” to continue.
If you attempted Method 1, but a red banner as shown in Figure 2 (to the right) replaces the yellow banner, you will need to read and follow the steps in Method 2 before you can enable and utilize this document.
</t>
    </r>
    <r>
      <rPr>
        <b/>
        <sz val="11"/>
        <color theme="1"/>
        <rFont val="Calibri"/>
        <family val="2"/>
        <scheme val="minor"/>
      </rPr>
      <t>Method 2:</t>
    </r>
    <r>
      <rPr>
        <sz val="11"/>
        <color theme="1"/>
        <rFont val="Calibri"/>
        <family val="2"/>
        <scheme val="minor"/>
      </rPr>
      <t xml:space="preserve">
</t>
    </r>
    <r>
      <rPr>
        <sz val="11"/>
        <rFont val="Calibri"/>
        <family val="2"/>
        <scheme val="minor"/>
      </rPr>
      <t xml:space="preserve">Navigate to where you saved this document on your computer and </t>
    </r>
    <r>
      <rPr>
        <sz val="11"/>
        <color theme="1"/>
        <rFont val="Calibri"/>
        <family val="2"/>
        <scheme val="minor"/>
      </rPr>
      <t xml:space="preserve">right click on it, then select “Properties”. See Figure 3 (to the right).
A window should appear. At the bottom of the properties menu, it might suggest that the file could be harmful, and there should be a checkbox to “Unblock” the file. Go ahead and check that box, then click “Apply”, and then click “OK”.  See Figure 4 (to the right).
After you “Unblock” the file, you should close then re-open this document and attempt Method 1 again.
</t>
    </r>
  </si>
  <si>
    <t>Figure 1</t>
  </si>
  <si>
    <t>Figure 2</t>
  </si>
  <si>
    <t>Figure 3</t>
  </si>
  <si>
    <t>Figure 4</t>
  </si>
  <si>
    <t>To check for updates, report an issue, or make a request/suggestion, contact me at</t>
  </si>
  <si>
    <t>Website:</t>
  </si>
  <si>
    <t>https://github.com/JeffreysDA</t>
  </si>
  <si>
    <t>Contact:</t>
  </si>
  <si>
    <t>jeffreysda@gmail.com</t>
  </si>
  <si>
    <t>Training</t>
  </si>
  <si>
    <t>IMPORTANT!</t>
  </si>
  <si>
    <r>
      <t xml:space="preserve">DO NOT SAVE THIS DOCUMENT WHILE IN DEVELOPER MODE! DOING SO MAY CAUSE UNWANTED EFFECTS. EXIT DEVELOPER MODE FIRST, THEN SAVE THE DOCUMENT.
</t>
    </r>
    <r>
      <rPr>
        <b/>
        <sz val="11"/>
        <color rgb="FF0000FF"/>
        <rFont val="Calibri"/>
        <family val="2"/>
        <scheme val="minor"/>
      </rPr>
      <t>Email "jeffreysda@gmail.com" for any questions, issues, or suggestions.</t>
    </r>
  </si>
  <si>
    <t>NOTES:</t>
  </si>
  <si>
    <t>Absence with Permission</t>
  </si>
  <si>
    <t>Administrative Duties</t>
  </si>
  <si>
    <t>General Time</t>
  </si>
  <si>
    <t>Sick Leave</t>
  </si>
  <si>
    <t>Vacation</t>
  </si>
  <si>
    <t>Type of Log</t>
  </si>
  <si>
    <t>Dependent Care Sick</t>
  </si>
  <si>
    <t>Secure Labs</t>
  </si>
  <si>
    <t>SUMMARY</t>
  </si>
  <si>
    <t>Time Spent</t>
  </si>
  <si>
    <t>Log Notes (Optional)</t>
  </si>
  <si>
    <t>Supplemental Pay</t>
  </si>
  <si>
    <t>Version</t>
  </si>
  <si>
    <t>NOT LOGGED</t>
  </si>
  <si>
    <t>Break</t>
  </si>
  <si>
    <t>TIME LOGGED</t>
  </si>
  <si>
    <t>N/A</t>
  </si>
  <si>
    <t xml:space="preserve">Hello and welcome to Developer Mode!
This is where you can safely make changes to this document to further customize it to your needs.
The gray areas help to identify where the changes will be seen, and what will be changed.
The blue areas are where you make your changes, such as editing drop down lists, changing headers, changing the document password, etc.
You can even edit this NOTES area to keep your own notes, memos, tips, or really whatever you want.
Some of the options edit information that is used to create other documents, so do be careful when making changes.
If there are any changes that you want to make that cannot be done using Developer Mode, please send an email to jeffreysda@gmail.com. Be sure to inlcude the name of this document in the Subject, and explain what changes need to be made.
If you attempt to make your own changes outside of Developer Mode, you might break the underlying Macros that allow this document to work properly.
TIPS:
- If you hold "Alt" and press "Enter" you can make a new line in this notepad.
- Copy and Paste your notes into a Word document to check for spelling errors before putting them in here.
</t>
  </si>
  <si>
    <t>Standby</t>
  </si>
  <si>
    <t>Non-Work Day</t>
  </si>
  <si>
    <t>Version: 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</si>
</sst>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h:mm;@"/>
    <numFmt numFmtId="165" formatCode="0.0"/>
    <numFmt numFmtId="166" formatCode="0000"/>
  </numFmts>
  <fonts count="18"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i/>
      <sz val="11"/>
      <color rgb="FF7030A0"/>
      <name val="Calibri"/>
      <family val="2"/>
      <scheme val="minor"/>
    </font>
    <font>
      <b/>
      <sz val="11"/>
      <color rgb="FFFF0000"/>
      <name val="Calibri"/>
      <family val="2"/>
      <scheme val="minor"/>
    </font>
    <font>
      <sz val="11"/>
      <name val="Calibri"/>
      <family val="2"/>
      <scheme val="minor"/>
    </font>
    <font>
      <sz val="10.5"/>
      <color theme="1"/>
      <name val="Calibri"/>
      <family val="2"/>
      <scheme val="minor"/>
    </font>
    <font>
      <u/>
      <sz val="11"/>
      <color theme="10"/>
      <name val="Calibri"/>
      <family val="2"/>
      <scheme val="minor"/>
    </font>
    <font>
      <sz val="10.5"/>
      <color theme="10"/>
      <name val="Calibri"/>
      <family val="2"/>
      <scheme val="minor"/>
    </font>
    <font>
      <b/>
      <sz val="11"/>
      <color rgb="FF0000FF"/>
      <name val="Calibri"/>
      <family val="2"/>
      <scheme val="minor"/>
    </font>
    <font>
      <b/>
      <u/>
      <sz val="11"/>
      <color theme="1"/>
      <name val="Calibri"/>
      <family val="2"/>
      <scheme val="minor"/>
    </font>
    <font>
      <b/>
      <sz val="11"/>
      <color rgb="FFC00000"/>
      <name val="Calibri"/>
      <family val="2"/>
      <scheme val="minor"/>
    </font>
    <font>
      <b/>
      <sz val="11"/>
      <color rgb="FF00B0F0"/>
      <name val="Calibri"/>
      <family val="2"/>
      <scheme val="minor"/>
    </font>
    <font>
      <b/>
      <sz val="11"/>
      <color theme="5"/>
      <name val="Calibri"/>
      <family val="2"/>
      <scheme val="minor"/>
    </font>
    <font>
      <b/>
      <i/>
      <sz val="11"/>
      <color theme="5"/>
      <name val="Calibri"/>
      <family val="2"/>
      <scheme val="minor"/>
    </font>
    <font>
      <sz val="8"/>
      <color rgb="FF000000"/>
      <name val="Segoe UI"/>
      <family val="2"/>
    </font>
  </fonts>
  <fills count="21">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4" tint="-0.49998474074526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1"/>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applyFont="0" applyFill="0" applyBorder="0" applyAlignment="0" applyProtection="0"/>
    <xf numFmtId="0" fontId="1" fillId="8" borderId="19" applyNumberFormat="0" applyFont="0" applyAlignment="0" applyProtection="0"/>
    <xf numFmtId="0" fontId="9" fillId="0" borderId="0" applyNumberFormat="0" applyFill="0" applyBorder="0" applyAlignment="0" applyProtection="0"/>
  </cellStyleXfs>
  <cellXfs count="131">
    <xf numFmtId="0" fontId="0" fillId="0" borderId="0" xfId="0"/>
    <xf numFmtId="0" fontId="0" fillId="0" borderId="0" xfId="0" applyProtection="1"/>
    <xf numFmtId="1" fontId="0" fillId="0" borderId="3" xfId="0" applyNumberFormat="1" applyBorder="1" applyProtection="1"/>
    <xf numFmtId="1" fontId="0" fillId="0" borderId="10" xfId="0" applyNumberFormat="1" applyBorder="1" applyProtection="1"/>
    <xf numFmtId="1" fontId="0" fillId="0" borderId="5" xfId="0" applyNumberFormat="1" applyBorder="1" applyProtection="1"/>
    <xf numFmtId="1" fontId="0" fillId="0" borderId="11" xfId="0" applyNumberFormat="1" applyBorder="1" applyProtection="1"/>
    <xf numFmtId="0" fontId="2" fillId="3" borderId="17" xfId="0" applyFont="1" applyFill="1" applyBorder="1" applyAlignment="1" applyProtection="1">
      <alignment horizontal="center" vertical="center"/>
    </xf>
    <xf numFmtId="164" fontId="0" fillId="2" borderId="3" xfId="0" applyNumberFormat="1" applyFill="1" applyBorder="1" applyAlignment="1" applyProtection="1">
      <alignment horizontal="center" vertical="center"/>
    </xf>
    <xf numFmtId="164" fontId="0" fillId="2" borderId="5" xfId="0" applyNumberFormat="1" applyFill="1" applyBorder="1" applyAlignment="1" applyProtection="1">
      <alignment horizontal="center" vertical="center"/>
    </xf>
    <xf numFmtId="0" fontId="2" fillId="4" borderId="2" xfId="0" applyFont="1" applyFill="1" applyBorder="1" applyAlignment="1">
      <alignment horizontal="center" vertical="center"/>
    </xf>
    <xf numFmtId="0" fontId="0" fillId="4" borderId="8" xfId="0" applyFill="1" applyBorder="1" applyAlignment="1" applyProtection="1">
      <alignment vertical="center"/>
      <protection locked="0"/>
    </xf>
    <xf numFmtId="0" fontId="0" fillId="5" borderId="0" xfId="0" applyFill="1"/>
    <xf numFmtId="166" fontId="0" fillId="6" borderId="3" xfId="0" applyNumberFormat="1" applyFill="1" applyBorder="1" applyAlignment="1" applyProtection="1">
      <alignment horizontal="center" vertical="center"/>
      <protection locked="0"/>
    </xf>
    <xf numFmtId="166" fontId="0" fillId="6" borderId="4" xfId="0" applyNumberFormat="1" applyFill="1" applyBorder="1" applyAlignment="1" applyProtection="1">
      <alignment horizontal="center" vertical="center"/>
      <protection locked="0"/>
    </xf>
    <xf numFmtId="166" fontId="0" fillId="6" borderId="5" xfId="0" applyNumberFormat="1" applyFill="1" applyBorder="1" applyAlignment="1" applyProtection="1">
      <alignment horizontal="center" vertical="center"/>
      <protection locked="0"/>
    </xf>
    <xf numFmtId="166" fontId="0" fillId="6" borderId="1" xfId="0" applyNumberFormat="1" applyFill="1" applyBorder="1" applyAlignment="1" applyProtection="1">
      <alignment horizontal="center" vertical="center"/>
      <protection locked="0"/>
    </xf>
    <xf numFmtId="0" fontId="5" fillId="4" borderId="8" xfId="0" applyFont="1" applyFill="1" applyBorder="1" applyAlignment="1">
      <alignment horizontal="center" vertical="center"/>
    </xf>
    <xf numFmtId="165" fontId="4" fillId="7" borderId="11" xfId="1" applyNumberFormat="1" applyFont="1" applyFill="1" applyBorder="1" applyAlignment="1" applyProtection="1">
      <alignment horizontal="center" vertical="center"/>
    </xf>
    <xf numFmtId="0" fontId="0" fillId="9" borderId="0" xfId="0" applyFill="1" applyBorder="1"/>
    <xf numFmtId="0" fontId="2" fillId="9" borderId="23" xfId="0" applyFont="1" applyFill="1" applyBorder="1" applyAlignment="1">
      <alignment horizontal="center" vertical="center"/>
    </xf>
    <xf numFmtId="0" fontId="0" fillId="9" borderId="24" xfId="0" applyFill="1" applyBorder="1"/>
    <xf numFmtId="0" fontId="0" fillId="9" borderId="25" xfId="0" applyFill="1" applyBorder="1"/>
    <xf numFmtId="0" fontId="0" fillId="9" borderId="28" xfId="0" applyFill="1" applyBorder="1"/>
    <xf numFmtId="0" fontId="0" fillId="9" borderId="29" xfId="0" applyFill="1" applyBorder="1"/>
    <xf numFmtId="0" fontId="2" fillId="9" borderId="24" xfId="0" applyFont="1" applyFill="1" applyBorder="1" applyAlignment="1">
      <alignment horizontal="center" vertical="center"/>
    </xf>
    <xf numFmtId="0" fontId="0" fillId="9" borderId="30" xfId="0" applyFill="1" applyBorder="1"/>
    <xf numFmtId="0" fontId="0" fillId="9" borderId="31" xfId="0" applyFill="1" applyBorder="1"/>
    <xf numFmtId="0" fontId="0" fillId="9" borderId="32" xfId="0" applyFill="1" applyBorder="1"/>
    <xf numFmtId="0" fontId="0" fillId="9" borderId="0" xfId="0" applyFill="1"/>
    <xf numFmtId="0" fontId="2" fillId="10" borderId="2" xfId="0" applyFont="1" applyFill="1" applyBorder="1" applyAlignment="1">
      <alignment vertical="center"/>
    </xf>
    <xf numFmtId="0" fontId="2" fillId="3" borderId="36" xfId="0" applyFont="1" applyFill="1" applyBorder="1" applyAlignment="1" applyProtection="1">
      <alignment horizontal="center" vertical="center"/>
    </xf>
    <xf numFmtId="0" fontId="2" fillId="3" borderId="38" xfId="0" applyFont="1" applyFill="1" applyBorder="1" applyAlignment="1" applyProtection="1">
      <alignment horizontal="center" vertical="center"/>
    </xf>
    <xf numFmtId="0" fontId="0" fillId="0" borderId="45" xfId="0" applyNumberFormat="1" applyBorder="1" applyProtection="1"/>
    <xf numFmtId="0" fontId="0" fillId="0" borderId="46" xfId="0" applyNumberFormat="1" applyBorder="1" applyProtection="1"/>
    <xf numFmtId="0" fontId="0" fillId="13" borderId="0" xfId="0" applyFill="1" applyProtection="1"/>
    <xf numFmtId="49" fontId="0" fillId="7" borderId="45" xfId="0" applyNumberFormat="1" applyFill="1" applyBorder="1" applyAlignment="1" applyProtection="1">
      <protection locked="0"/>
    </xf>
    <xf numFmtId="49" fontId="0" fillId="7" borderId="46" xfId="0" applyNumberFormat="1" applyFill="1" applyBorder="1" applyAlignment="1" applyProtection="1">
      <protection locked="0"/>
    </xf>
    <xf numFmtId="0" fontId="13" fillId="16" borderId="2" xfId="0" applyFont="1" applyFill="1" applyBorder="1" applyAlignment="1" applyProtection="1">
      <alignment horizontal="center" vertical="center"/>
    </xf>
    <xf numFmtId="49" fontId="0" fillId="7" borderId="53" xfId="0" applyNumberFormat="1" applyFill="1" applyBorder="1" applyProtection="1">
      <protection locked="0"/>
    </xf>
    <xf numFmtId="0" fontId="2" fillId="12" borderId="17" xfId="0" applyFont="1" applyFill="1" applyBorder="1" applyAlignment="1" applyProtection="1">
      <alignment horizontal="center" vertical="center"/>
    </xf>
    <xf numFmtId="0" fontId="0" fillId="7" borderId="46" xfId="0" applyFill="1" applyBorder="1" applyAlignment="1" applyProtection="1">
      <protection locked="0"/>
    </xf>
    <xf numFmtId="0" fontId="0" fillId="7" borderId="46" xfId="0" applyFill="1" applyBorder="1" applyProtection="1">
      <protection locked="0"/>
    </xf>
    <xf numFmtId="0" fontId="0" fillId="7" borderId="47" xfId="0" applyFill="1" applyBorder="1" applyProtection="1">
      <protection locked="0"/>
    </xf>
    <xf numFmtId="164" fontId="0" fillId="2" borderId="10" xfId="0" applyNumberFormat="1" applyFill="1" applyBorder="1" applyAlignment="1" applyProtection="1">
      <alignment horizontal="center" vertical="center"/>
    </xf>
    <xf numFmtId="164" fontId="0" fillId="2" borderId="11" xfId="0" applyNumberFormat="1" applyFill="1" applyBorder="1" applyAlignment="1" applyProtection="1">
      <alignment horizontal="center" vertical="center"/>
    </xf>
    <xf numFmtId="0" fontId="2" fillId="18" borderId="17" xfId="0" applyFont="1" applyFill="1" applyBorder="1" applyAlignment="1">
      <alignment horizontal="center" vertical="center"/>
    </xf>
    <xf numFmtId="164" fontId="0" fillId="11" borderId="3" xfId="0" applyNumberFormat="1" applyFill="1" applyBorder="1" applyAlignment="1">
      <alignment horizontal="center" vertical="center"/>
    </xf>
    <xf numFmtId="165" fontId="0" fillId="11" borderId="10" xfId="0" applyNumberFormat="1" applyFill="1" applyBorder="1" applyAlignment="1">
      <alignment horizontal="center" vertical="center"/>
    </xf>
    <xf numFmtId="164" fontId="0" fillId="11" borderId="5" xfId="0" applyNumberFormat="1" applyFill="1" applyBorder="1" applyAlignment="1">
      <alignment horizontal="center" vertical="center"/>
    </xf>
    <xf numFmtId="165" fontId="0" fillId="11" borderId="11" xfId="0" applyNumberFormat="1" applyFill="1" applyBorder="1" applyAlignment="1">
      <alignment horizontal="center" vertical="center"/>
    </xf>
    <xf numFmtId="164" fontId="0" fillId="11" borderId="6" xfId="0" applyNumberFormat="1" applyFill="1" applyBorder="1" applyAlignment="1">
      <alignment horizontal="center" vertical="center"/>
    </xf>
    <xf numFmtId="165" fontId="0" fillId="11" borderId="12" xfId="0" applyNumberFormat="1" applyFill="1" applyBorder="1" applyAlignment="1">
      <alignment horizontal="center" vertical="center"/>
    </xf>
    <xf numFmtId="0" fontId="0" fillId="18" borderId="8" xfId="0" applyFill="1" applyBorder="1" applyAlignment="1">
      <alignment vertical="center"/>
    </xf>
    <xf numFmtId="0" fontId="16" fillId="19" borderId="8" xfId="0" applyFont="1" applyFill="1" applyBorder="1" applyAlignment="1">
      <alignment horizontal="center" vertical="center"/>
    </xf>
    <xf numFmtId="164" fontId="0" fillId="5" borderId="0" xfId="0" applyNumberFormat="1" applyFill="1"/>
    <xf numFmtId="49" fontId="0" fillId="6" borderId="46" xfId="0" quotePrefix="1" applyNumberFormat="1" applyFill="1" applyBorder="1" applyAlignment="1" applyProtection="1">
      <alignment horizontal="left" vertical="center" wrapText="1"/>
      <protection locked="0"/>
    </xf>
    <xf numFmtId="49" fontId="0" fillId="6" borderId="45" xfId="0" applyNumberFormat="1" applyFill="1" applyBorder="1" applyAlignment="1" applyProtection="1">
      <alignment horizontal="left" vertical="center" wrapText="1"/>
      <protection locked="0"/>
    </xf>
    <xf numFmtId="49" fontId="0" fillId="6" borderId="46" xfId="0" applyNumberFormat="1" applyFill="1" applyBorder="1" applyAlignment="1" applyProtection="1">
      <alignment horizontal="left" vertical="center" wrapText="1"/>
      <protection locked="0"/>
    </xf>
    <xf numFmtId="164" fontId="16" fillId="19" borderId="54" xfId="0" applyNumberFormat="1" applyFont="1" applyFill="1" applyBorder="1" applyAlignment="1">
      <alignment horizontal="center" vertical="center"/>
    </xf>
    <xf numFmtId="165" fontId="16" fillId="19" borderId="55" xfId="0" applyNumberFormat="1" applyFont="1" applyFill="1" applyBorder="1" applyAlignment="1">
      <alignment horizontal="center" vertical="center"/>
    </xf>
    <xf numFmtId="0" fontId="2" fillId="4" borderId="17" xfId="0" applyFont="1" applyFill="1" applyBorder="1" applyAlignment="1">
      <alignment horizontal="center" vertical="center"/>
    </xf>
    <xf numFmtId="0" fontId="2" fillId="4" borderId="36" xfId="0" applyFont="1" applyFill="1" applyBorder="1" applyAlignment="1">
      <alignment horizontal="center" vertical="center"/>
    </xf>
    <xf numFmtId="0" fontId="14" fillId="17" borderId="40" xfId="0" applyFont="1" applyFill="1" applyBorder="1" applyAlignment="1">
      <alignment horizontal="center" vertical="center"/>
    </xf>
    <xf numFmtId="166" fontId="5" fillId="4" borderId="13" xfId="0" applyNumberFormat="1" applyFont="1" applyFill="1" applyBorder="1" applyAlignment="1" applyProtection="1">
      <alignment horizontal="center" vertical="center"/>
    </xf>
    <xf numFmtId="166" fontId="5" fillId="4" borderId="14" xfId="0" applyNumberFormat="1" applyFont="1" applyFill="1" applyBorder="1" applyAlignment="1" applyProtection="1">
      <alignment horizontal="center" vertical="center"/>
    </xf>
    <xf numFmtId="164" fontId="5" fillId="4" borderId="13" xfId="0" applyNumberFormat="1" applyFont="1" applyFill="1" applyBorder="1" applyAlignment="1" applyProtection="1">
      <alignment horizontal="center" vertical="center"/>
    </xf>
    <xf numFmtId="165" fontId="5" fillId="4" borderId="14" xfId="1" applyNumberFormat="1" applyFont="1" applyFill="1" applyBorder="1" applyAlignment="1" applyProtection="1">
      <alignment horizontal="center" vertical="center"/>
    </xf>
    <xf numFmtId="49" fontId="0" fillId="0" borderId="45" xfId="0" applyNumberFormat="1" applyBorder="1" applyProtection="1">
      <protection locked="0"/>
    </xf>
    <xf numFmtId="49" fontId="0" fillId="0" borderId="46" xfId="0" applyNumberFormat="1" applyBorder="1" applyProtection="1">
      <protection locked="0"/>
    </xf>
    <xf numFmtId="164" fontId="0" fillId="2" borderId="13" xfId="0" applyNumberFormat="1" applyFill="1" applyBorder="1" applyAlignment="1" applyProtection="1">
      <alignment horizontal="center" vertical="center"/>
    </xf>
    <xf numFmtId="164" fontId="0" fillId="2" borderId="14" xfId="0" applyNumberFormat="1" applyFill="1" applyBorder="1" applyAlignment="1" applyProtection="1">
      <alignment horizontal="center" vertical="center"/>
    </xf>
    <xf numFmtId="0" fontId="0" fillId="0" borderId="2" xfId="0" applyNumberFormat="1" applyBorder="1" applyProtection="1"/>
    <xf numFmtId="49" fontId="0" fillId="0" borderId="2" xfId="0" applyNumberFormat="1" applyBorder="1" applyProtection="1">
      <protection locked="0"/>
    </xf>
    <xf numFmtId="1" fontId="0" fillId="0" borderId="13" xfId="0" applyNumberFormat="1" applyBorder="1" applyProtection="1"/>
    <xf numFmtId="1" fontId="0" fillId="0" borderId="14" xfId="0" applyNumberFormat="1" applyBorder="1" applyProtection="1"/>
    <xf numFmtId="0" fontId="0" fillId="0" borderId="0" xfId="0" applyNumberFormat="1" applyProtection="1"/>
    <xf numFmtId="0" fontId="0" fillId="5" borderId="0" xfId="0" applyFill="1" applyBorder="1"/>
    <xf numFmtId="164" fontId="4" fillId="7" borderId="4" xfId="0" applyNumberFormat="1" applyFont="1" applyFill="1" applyBorder="1" applyAlignment="1" applyProtection="1">
      <alignment horizontal="center" vertical="center"/>
    </xf>
    <xf numFmtId="165" fontId="4" fillId="7" borderId="10" xfId="1" applyNumberFormat="1" applyFont="1" applyFill="1" applyBorder="1" applyAlignment="1" applyProtection="1">
      <alignment horizontal="center" vertical="center"/>
    </xf>
    <xf numFmtId="164" fontId="4" fillId="7" borderId="1" xfId="0" applyNumberFormat="1" applyFont="1" applyFill="1" applyBorder="1" applyAlignment="1" applyProtection="1">
      <alignment horizontal="center" vertical="center"/>
    </xf>
    <xf numFmtId="0" fontId="0" fillId="8" borderId="20" xfId="2" applyFont="1" applyBorder="1" applyAlignment="1">
      <alignment horizontal="left" vertical="top" wrapText="1"/>
    </xf>
    <xf numFmtId="0" fontId="0" fillId="8" borderId="21" xfId="2" applyFont="1" applyBorder="1" applyAlignment="1">
      <alignment horizontal="left" vertical="top" wrapText="1"/>
    </xf>
    <xf numFmtId="0" fontId="0" fillId="8" borderId="22" xfId="2" applyFont="1" applyBorder="1" applyAlignment="1">
      <alignment horizontal="left" vertical="top" wrapText="1"/>
    </xf>
    <xf numFmtId="0" fontId="0" fillId="8" borderId="26" xfId="2" applyFont="1" applyBorder="1" applyAlignment="1">
      <alignment horizontal="left" vertical="top" wrapText="1"/>
    </xf>
    <xf numFmtId="0" fontId="0" fillId="8" borderId="19" xfId="2" applyFont="1" applyBorder="1" applyAlignment="1">
      <alignment horizontal="left" vertical="top" wrapText="1"/>
    </xf>
    <xf numFmtId="0" fontId="0" fillId="8" borderId="27" xfId="2" applyFont="1" applyBorder="1" applyAlignment="1">
      <alignment horizontal="left" vertical="top" wrapText="1"/>
    </xf>
    <xf numFmtId="0" fontId="0" fillId="8" borderId="33" xfId="2" applyFont="1" applyBorder="1" applyAlignment="1">
      <alignment horizontal="left" vertical="top" wrapText="1"/>
    </xf>
    <xf numFmtId="0" fontId="0" fillId="8" borderId="34" xfId="2" applyFont="1" applyBorder="1" applyAlignment="1">
      <alignment horizontal="left" vertical="top" wrapText="1"/>
    </xf>
    <xf numFmtId="0" fontId="0" fillId="8" borderId="35" xfId="2" applyFont="1" applyBorder="1" applyAlignment="1">
      <alignment horizontal="left" vertical="top" wrapText="1"/>
    </xf>
    <xf numFmtId="0" fontId="8" fillId="10" borderId="36" xfId="0" applyFont="1" applyFill="1" applyBorder="1" applyAlignment="1">
      <alignment horizontal="left" vertical="top" wrapText="1"/>
    </xf>
    <xf numFmtId="0" fontId="8" fillId="10" borderId="37" xfId="0" applyFont="1" applyFill="1" applyBorder="1" applyAlignment="1">
      <alignment horizontal="left" vertical="top" wrapText="1"/>
    </xf>
    <xf numFmtId="0" fontId="8" fillId="10" borderId="38" xfId="0" applyFont="1" applyFill="1" applyBorder="1" applyAlignment="1">
      <alignment horizontal="left" vertical="top" wrapText="1"/>
    </xf>
    <xf numFmtId="0" fontId="8" fillId="10" borderId="9" xfId="0" applyFont="1" applyFill="1" applyBorder="1" applyAlignment="1">
      <alignment horizontal="left" vertical="top" wrapText="1"/>
    </xf>
    <xf numFmtId="0" fontId="8" fillId="10" borderId="39" xfId="0" applyFont="1" applyFill="1" applyBorder="1" applyAlignment="1">
      <alignment horizontal="left" vertical="top" wrapText="1"/>
    </xf>
    <xf numFmtId="0" fontId="8" fillId="10" borderId="40" xfId="0" applyFont="1" applyFill="1" applyBorder="1" applyAlignment="1">
      <alignment horizontal="left" vertical="top" wrapText="1"/>
    </xf>
    <xf numFmtId="0" fontId="10" fillId="11" borderId="41" xfId="3" applyFont="1" applyFill="1" applyBorder="1" applyAlignment="1">
      <alignment horizontal="left" vertical="center"/>
    </xf>
    <xf numFmtId="0" fontId="10" fillId="11" borderId="42" xfId="3" applyFont="1" applyFill="1" applyBorder="1" applyAlignment="1">
      <alignment horizontal="left" vertical="center"/>
    </xf>
    <xf numFmtId="0" fontId="10" fillId="11" borderId="15" xfId="3" applyFont="1" applyFill="1" applyBorder="1" applyAlignment="1">
      <alignment horizontal="left" vertical="center"/>
    </xf>
    <xf numFmtId="0" fontId="10" fillId="11" borderId="43" xfId="3" applyFont="1" applyFill="1" applyBorder="1" applyAlignment="1">
      <alignment horizontal="left" vertical="center"/>
    </xf>
    <xf numFmtId="0" fontId="10" fillId="11" borderId="44" xfId="3" applyFont="1" applyFill="1" applyBorder="1" applyAlignment="1">
      <alignment horizontal="left" vertical="center"/>
    </xf>
    <xf numFmtId="0" fontId="10" fillId="11" borderId="16" xfId="3" applyFont="1" applyFill="1" applyBorder="1" applyAlignment="1">
      <alignment horizontal="left" vertical="center"/>
    </xf>
    <xf numFmtId="0" fontId="15" fillId="19" borderId="8" xfId="0" applyFont="1" applyFill="1" applyBorder="1" applyAlignment="1">
      <alignment horizontal="center"/>
    </xf>
    <xf numFmtId="0" fontId="15" fillId="19" borderId="56" xfId="0" applyFont="1" applyFill="1" applyBorder="1" applyAlignment="1">
      <alignment horizontal="center"/>
    </xf>
    <xf numFmtId="0" fontId="15" fillId="19" borderId="57" xfId="0" applyFont="1" applyFill="1" applyBorder="1" applyAlignment="1">
      <alignment horizontal="center"/>
    </xf>
    <xf numFmtId="0" fontId="6" fillId="3" borderId="13" xfId="0" applyFont="1" applyFill="1" applyBorder="1" applyAlignment="1" applyProtection="1">
      <alignment horizontal="center" vertical="center"/>
    </xf>
    <xf numFmtId="0" fontId="6" fillId="3" borderId="18" xfId="0" applyFont="1" applyFill="1" applyBorder="1" applyAlignment="1" applyProtection="1">
      <alignment horizontal="center" vertical="center"/>
    </xf>
    <xf numFmtId="0" fontId="6" fillId="3" borderId="14" xfId="0" applyFont="1" applyFill="1" applyBorder="1" applyAlignment="1" applyProtection="1">
      <alignment horizontal="center" vertical="center"/>
    </xf>
    <xf numFmtId="0" fontId="6" fillId="14" borderId="48" xfId="0" applyFont="1" applyFill="1" applyBorder="1" applyAlignment="1" applyProtection="1">
      <alignment horizontal="left" vertical="center" wrapText="1"/>
    </xf>
    <xf numFmtId="0" fontId="6" fillId="14" borderId="49" xfId="0" applyFont="1" applyFill="1" applyBorder="1" applyAlignment="1" applyProtection="1">
      <alignment horizontal="left" vertical="center" wrapText="1"/>
    </xf>
    <xf numFmtId="0" fontId="6" fillId="14" borderId="50" xfId="0" applyFont="1" applyFill="1" applyBorder="1" applyAlignment="1" applyProtection="1">
      <alignment horizontal="left" vertical="center" wrapText="1"/>
    </xf>
    <xf numFmtId="0" fontId="6" fillId="14" borderId="5" xfId="0" applyFont="1" applyFill="1" applyBorder="1" applyAlignment="1" applyProtection="1">
      <alignment horizontal="left" vertical="center" wrapText="1"/>
    </xf>
    <xf numFmtId="0" fontId="6" fillId="14" borderId="1" xfId="0" applyFont="1" applyFill="1" applyBorder="1" applyAlignment="1" applyProtection="1">
      <alignment horizontal="left" vertical="center" wrapText="1"/>
    </xf>
    <xf numFmtId="0" fontId="6" fillId="14" borderId="11" xfId="0" applyFont="1" applyFill="1" applyBorder="1" applyAlignment="1" applyProtection="1">
      <alignment horizontal="left" vertical="center" wrapText="1"/>
    </xf>
    <xf numFmtId="0" fontId="6" fillId="14" borderId="6" xfId="0" applyFont="1" applyFill="1" applyBorder="1" applyAlignment="1" applyProtection="1">
      <alignment horizontal="left" vertical="center" wrapText="1"/>
    </xf>
    <xf numFmtId="0" fontId="6" fillId="14" borderId="7" xfId="0" applyFont="1" applyFill="1" applyBorder="1" applyAlignment="1" applyProtection="1">
      <alignment horizontal="left" vertical="center" wrapText="1"/>
    </xf>
    <xf numFmtId="0" fontId="6" fillId="14" borderId="12" xfId="0" applyFont="1" applyFill="1" applyBorder="1" applyAlignment="1" applyProtection="1">
      <alignment horizontal="left" vertical="center" wrapText="1"/>
    </xf>
    <xf numFmtId="0" fontId="12" fillId="15" borderId="36" xfId="0" applyFont="1" applyFill="1" applyBorder="1" applyAlignment="1" applyProtection="1">
      <alignment horizontal="center" vertical="center"/>
    </xf>
    <xf numFmtId="0" fontId="12" fillId="15" borderId="37" xfId="0" applyFont="1" applyFill="1" applyBorder="1" applyAlignment="1" applyProtection="1">
      <alignment horizontal="center" vertical="center"/>
    </xf>
    <xf numFmtId="0" fontId="12" fillId="15" borderId="38" xfId="0" applyFont="1" applyFill="1" applyBorder="1" applyAlignment="1" applyProtection="1">
      <alignment horizontal="center" vertical="center"/>
    </xf>
    <xf numFmtId="49" fontId="0" fillId="15" borderId="51" xfId="0" applyNumberFormat="1" applyFill="1" applyBorder="1" applyAlignment="1" applyProtection="1">
      <alignment horizontal="left" vertical="top" wrapText="1"/>
      <protection locked="0"/>
    </xf>
    <xf numFmtId="49" fontId="0" fillId="15" borderId="0" xfId="0" applyNumberFormat="1" applyFill="1" applyBorder="1" applyAlignment="1" applyProtection="1">
      <alignment horizontal="left" vertical="top" wrapText="1"/>
      <protection locked="0"/>
    </xf>
    <xf numFmtId="49" fontId="0" fillId="15" borderId="52" xfId="0" applyNumberFormat="1" applyFill="1" applyBorder="1" applyAlignment="1" applyProtection="1">
      <alignment horizontal="left" vertical="top" wrapText="1"/>
      <protection locked="0"/>
    </xf>
    <xf numFmtId="49" fontId="0" fillId="15" borderId="9" xfId="0" applyNumberFormat="1" applyFill="1" applyBorder="1" applyAlignment="1" applyProtection="1">
      <alignment horizontal="left" vertical="top" wrapText="1"/>
      <protection locked="0"/>
    </xf>
    <xf numFmtId="49" fontId="0" fillId="15" borderId="39" xfId="0" applyNumberFormat="1" applyFill="1" applyBorder="1" applyAlignment="1" applyProtection="1">
      <alignment horizontal="left" vertical="top" wrapText="1"/>
      <protection locked="0"/>
    </xf>
    <xf numFmtId="49" fontId="0" fillId="15" borderId="40" xfId="0" applyNumberFormat="1" applyFill="1" applyBorder="1" applyAlignment="1" applyProtection="1">
      <alignment horizontal="left" vertical="top" wrapText="1"/>
      <protection locked="0"/>
    </xf>
    <xf numFmtId="0" fontId="0" fillId="6" borderId="8" xfId="0" applyFill="1" applyBorder="1" applyAlignment="1" applyProtection="1">
      <alignment horizontal="center"/>
      <protection locked="0"/>
    </xf>
    <xf numFmtId="0" fontId="0" fillId="6" borderId="57" xfId="0" applyFill="1" applyBorder="1" applyAlignment="1" applyProtection="1">
      <alignment horizontal="center"/>
      <protection locked="0"/>
    </xf>
    <xf numFmtId="0" fontId="6" fillId="20" borderId="8" xfId="0" applyFont="1" applyFill="1" applyBorder="1" applyAlignment="1" applyProtection="1">
      <alignment horizontal="center"/>
    </xf>
    <xf numFmtId="0" fontId="6" fillId="20" borderId="57" xfId="0" applyFont="1" applyFill="1" applyBorder="1" applyAlignment="1" applyProtection="1">
      <alignment horizontal="center"/>
    </xf>
    <xf numFmtId="0" fontId="0" fillId="5" borderId="0" xfId="0" applyNumberFormat="1" applyFill="1"/>
    <xf numFmtId="2" fontId="0" fillId="5" borderId="0" xfId="0" applyNumberFormat="1" applyFill="1"/>
  </cellXfs>
  <cellStyles count="4">
    <cellStyle name="Hyperlink" xfId="3" builtinId="8"/>
    <cellStyle name="Normal" xfId="0" builtinId="0"/>
    <cellStyle name="Note" xfId="2" builtinId="1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10</xdr:col>
      <xdr:colOff>47625</xdr:colOff>
      <xdr:row>1</xdr:row>
      <xdr:rowOff>19050</xdr:rowOff>
    </xdr:from>
    <xdr:to>
      <xdr:col>17</xdr:col>
      <xdr:colOff>391168</xdr:colOff>
      <xdr:row>2</xdr:row>
      <xdr:rowOff>152445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55</xdr:row>
          <xdr:rowOff>76200</xdr:rowOff>
        </xdr:from>
        <xdr:to>
          <xdr:col>0</xdr:col>
          <xdr:colOff>1304925</xdr:colOff>
          <xdr:row>56</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53</xdr:row>
          <xdr:rowOff>9525</xdr:rowOff>
        </xdr:from>
        <xdr:to>
          <xdr:col>0</xdr:col>
          <xdr:colOff>1304925</xdr:colOff>
          <xdr:row>54</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to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53</xdr:row>
          <xdr:rowOff>0</xdr:rowOff>
        </xdr:from>
        <xdr:to>
          <xdr:col>2</xdr:col>
          <xdr:colOff>571500</xdr:colOff>
          <xdr:row>54</xdr:row>
          <xdr:rowOff>38100</xdr:rowOff>
        </xdr:to>
        <xdr:sp macro="" textlink="">
          <xdr:nvSpPr>
            <xdr:cNvPr id="1029" name="ChkBx_ExitAfterExport"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Exit after Export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54</xdr:row>
          <xdr:rowOff>76200</xdr:rowOff>
        </xdr:from>
        <xdr:to>
          <xdr:col>2</xdr:col>
          <xdr:colOff>571500</xdr:colOff>
          <xdr:row>55</xdr:row>
          <xdr:rowOff>114300</xdr:rowOff>
        </xdr:to>
        <xdr:sp macro="" textlink="">
          <xdr:nvSpPr>
            <xdr:cNvPr id="1038" name="ChkBx_Show16_27" descr="Hide Rows 16-27"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Show/Hide Rows 16-27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55</xdr:row>
          <xdr:rowOff>152400</xdr:rowOff>
        </xdr:from>
        <xdr:to>
          <xdr:col>2</xdr:col>
          <xdr:colOff>571500</xdr:colOff>
          <xdr:row>57</xdr:row>
          <xdr:rowOff>0</xdr:rowOff>
        </xdr:to>
        <xdr:sp macro="" textlink="">
          <xdr:nvSpPr>
            <xdr:cNvPr id="1040" name="ChkBx_Show28_39"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Show/Hide Rows 28-39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142875</xdr:colOff>
          <xdr:row>57</xdr:row>
          <xdr:rowOff>38100</xdr:rowOff>
        </xdr:from>
        <xdr:to>
          <xdr:col>2</xdr:col>
          <xdr:colOff>571500</xdr:colOff>
          <xdr:row>58</xdr:row>
          <xdr:rowOff>76200</xdr:rowOff>
        </xdr:to>
        <xdr:sp macro="" textlink="">
          <xdr:nvSpPr>
            <xdr:cNvPr id="1041" name="ChkBx_Show40_51" descr="Show Rows 40-51"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Show/Hide Rows 40-51</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95250</xdr:colOff>
          <xdr:row>3</xdr:row>
          <xdr:rowOff>76200</xdr:rowOff>
        </xdr:from>
        <xdr:to>
          <xdr:col>5</xdr:col>
          <xdr:colOff>933450</xdr:colOff>
          <xdr:row>5</xdr:row>
          <xdr:rowOff>104775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190500</xdr:colOff>
          <xdr:row>1</xdr:row>
          <xdr:rowOff>76200</xdr:rowOff>
        </xdr:from>
        <xdr:to>
          <xdr:col>14</xdr:col>
          <xdr:colOff>209550</xdr:colOff>
          <xdr:row>3</xdr:row>
          <xdr:rowOff>114300</xdr:rowOff>
        </xdr:to>
        <xdr:sp macro="" textlink="">
          <xdr:nvSpPr>
            <xdr:cNvPr id="4099" name="ExtDevMd"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Exit DevMode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reys, Duncan                            Collins" id="{0216F7C3-1935-44CD-A533-95E8149A4E0A}" userId="Jeffreys, Duncan                            Collins"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52" dT="2021-03-23T19:08:06.74" personId="{0216F7C3-1935-44CD-A533-95E8149A4E0A}" id="{CC9C58FD-CAE9-407B-8805-926CC5E24A1C}">
    <text>Website:
https://github.com/JeffreysDA
Contact:
jeffreysda@gmail.com</text>
  </threadedComment>
</ThreadedComments>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jeffreysda@gmail.com" TargetMode="External"/><Relationship Id="rId1" Type="http://schemas.openxmlformats.org/officeDocument/2006/relationships/hyperlink" Target="https://github.com/JeffreysDA"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microsoft.com/office/2017/10/relationships/threadedComment" Target="../threadedComments/threadedComment1.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
  <dimension ref="A1:U35"/>
  <sheetViews>
    <sheetView tabSelected="1" workbookViewId="0">
      <selection sqref="A1:I30"/>
    </sheetView>
  </sheetViews>
  <sheetFormatPr defaultColWidth="9.140625" defaultRowHeight="15" x14ac:dyDescent="0.25"/>
  <cols>
    <col min="1" max="9" width="9.140625" style="28"/>
    <col min="10" max="16384" width="9.140625" style="18"/>
  </cols>
  <sheetData>
    <row r="1" spans="1:21" ht="15" customHeight="1" x14ac:dyDescent="0.25">
      <c r="A1" s="80" t="s">
        <v>14</v>
      </c>
      <c r="B1" s="81"/>
      <c r="C1" s="81"/>
      <c r="D1" s="81"/>
      <c r="E1" s="81"/>
      <c r="F1" s="81"/>
      <c r="G1" s="81"/>
      <c r="H1" s="81"/>
      <c r="I1" s="82"/>
      <c r="K1" s="19" t="s">
        <v>15</v>
      </c>
      <c r="L1" s="20"/>
      <c r="M1" s="20"/>
      <c r="N1" s="20"/>
      <c r="O1" s="20"/>
      <c r="P1" s="20"/>
      <c r="Q1" s="20"/>
      <c r="R1" s="21"/>
    </row>
    <row r="2" spans="1:21" x14ac:dyDescent="0.25">
      <c r="A2" s="83"/>
      <c r="B2" s="84"/>
      <c r="C2" s="84"/>
      <c r="D2" s="84"/>
      <c r="E2" s="84"/>
      <c r="F2" s="84"/>
      <c r="G2" s="84"/>
      <c r="H2" s="84"/>
      <c r="I2" s="85"/>
      <c r="K2" s="22"/>
      <c r="R2" s="23"/>
    </row>
    <row r="3" spans="1:21" x14ac:dyDescent="0.25">
      <c r="A3" s="83"/>
      <c r="B3" s="84"/>
      <c r="C3" s="84"/>
      <c r="D3" s="84"/>
      <c r="E3" s="84"/>
      <c r="F3" s="84"/>
      <c r="G3" s="84"/>
      <c r="H3" s="84"/>
      <c r="I3" s="85"/>
      <c r="K3" s="22"/>
      <c r="R3" s="23"/>
    </row>
    <row r="4" spans="1:21" x14ac:dyDescent="0.25">
      <c r="A4" s="83"/>
      <c r="B4" s="84"/>
      <c r="C4" s="84"/>
      <c r="D4" s="84"/>
      <c r="E4" s="84"/>
      <c r="F4" s="84"/>
      <c r="G4" s="84"/>
      <c r="H4" s="84"/>
      <c r="I4" s="85"/>
      <c r="K4" s="19" t="s">
        <v>16</v>
      </c>
      <c r="L4" s="20"/>
      <c r="M4" s="20"/>
      <c r="N4" s="20"/>
      <c r="O4" s="20"/>
      <c r="P4" s="24"/>
      <c r="Q4" s="20"/>
      <c r="R4" s="20"/>
      <c r="S4" s="20"/>
      <c r="T4" s="20"/>
      <c r="U4" s="21"/>
    </row>
    <row r="5" spans="1:21" x14ac:dyDescent="0.25">
      <c r="A5" s="83"/>
      <c r="B5" s="84"/>
      <c r="C5" s="84"/>
      <c r="D5" s="84"/>
      <c r="E5" s="84"/>
      <c r="F5" s="84"/>
      <c r="G5" s="84"/>
      <c r="H5" s="84"/>
      <c r="I5" s="85"/>
      <c r="K5" s="22"/>
      <c r="U5" s="23"/>
    </row>
    <row r="6" spans="1:21" x14ac:dyDescent="0.25">
      <c r="A6" s="83"/>
      <c r="B6" s="84"/>
      <c r="C6" s="84"/>
      <c r="D6" s="84"/>
      <c r="E6" s="84"/>
      <c r="F6" s="84"/>
      <c r="G6" s="84"/>
      <c r="H6" s="84"/>
      <c r="I6" s="85"/>
      <c r="K6" s="22"/>
      <c r="U6" s="23"/>
    </row>
    <row r="7" spans="1:21" x14ac:dyDescent="0.25">
      <c r="A7" s="83"/>
      <c r="B7" s="84"/>
      <c r="C7" s="84"/>
      <c r="D7" s="84"/>
      <c r="E7" s="84"/>
      <c r="F7" s="84"/>
      <c r="G7" s="84"/>
      <c r="H7" s="84"/>
      <c r="I7" s="85"/>
      <c r="K7" s="25"/>
      <c r="L7" s="26"/>
      <c r="M7" s="26"/>
      <c r="N7" s="26"/>
      <c r="O7" s="26"/>
      <c r="P7" s="26"/>
      <c r="Q7" s="26"/>
      <c r="R7" s="26"/>
      <c r="S7" s="26"/>
      <c r="T7" s="26"/>
      <c r="U7" s="27"/>
    </row>
    <row r="8" spans="1:21" x14ac:dyDescent="0.25">
      <c r="A8" s="83"/>
      <c r="B8" s="84"/>
      <c r="C8" s="84"/>
      <c r="D8" s="84"/>
      <c r="E8" s="84"/>
      <c r="F8" s="84"/>
      <c r="G8" s="84"/>
      <c r="H8" s="84"/>
      <c r="I8" s="85"/>
      <c r="K8" s="19" t="s">
        <v>17</v>
      </c>
      <c r="L8" s="20"/>
      <c r="M8" s="20"/>
      <c r="N8" s="20"/>
      <c r="O8" s="21"/>
      <c r="P8" s="19" t="s">
        <v>18</v>
      </c>
      <c r="Q8" s="20"/>
      <c r="R8" s="20"/>
      <c r="S8" s="20"/>
      <c r="T8" s="20"/>
      <c r="U8" s="21"/>
    </row>
    <row r="9" spans="1:21" x14ac:dyDescent="0.25">
      <c r="A9" s="83"/>
      <c r="B9" s="84"/>
      <c r="C9" s="84"/>
      <c r="D9" s="84"/>
      <c r="E9" s="84"/>
      <c r="F9" s="84"/>
      <c r="G9" s="84"/>
      <c r="H9" s="84"/>
      <c r="I9" s="85"/>
      <c r="K9" s="22"/>
      <c r="O9" s="23"/>
      <c r="P9" s="22"/>
      <c r="U9" s="23"/>
    </row>
    <row r="10" spans="1:21" x14ac:dyDescent="0.25">
      <c r="A10" s="83"/>
      <c r="B10" s="84"/>
      <c r="C10" s="84"/>
      <c r="D10" s="84"/>
      <c r="E10" s="84"/>
      <c r="F10" s="84"/>
      <c r="G10" s="84"/>
      <c r="H10" s="84"/>
      <c r="I10" s="85"/>
      <c r="K10" s="22"/>
      <c r="O10" s="23"/>
      <c r="P10" s="22"/>
      <c r="U10" s="23"/>
    </row>
    <row r="11" spans="1:21" x14ac:dyDescent="0.25">
      <c r="A11" s="83"/>
      <c r="B11" s="84"/>
      <c r="C11" s="84"/>
      <c r="D11" s="84"/>
      <c r="E11" s="84"/>
      <c r="F11" s="84"/>
      <c r="G11" s="84"/>
      <c r="H11" s="84"/>
      <c r="I11" s="85"/>
      <c r="K11" s="22"/>
      <c r="O11" s="23"/>
      <c r="P11" s="22"/>
      <c r="U11" s="23"/>
    </row>
    <row r="12" spans="1:21" x14ac:dyDescent="0.25">
      <c r="A12" s="83"/>
      <c r="B12" s="84"/>
      <c r="C12" s="84"/>
      <c r="D12" s="84"/>
      <c r="E12" s="84"/>
      <c r="F12" s="84"/>
      <c r="G12" s="84"/>
      <c r="H12" s="84"/>
      <c r="I12" s="85"/>
      <c r="K12" s="22"/>
      <c r="O12" s="23"/>
      <c r="P12" s="22"/>
      <c r="U12" s="23"/>
    </row>
    <row r="13" spans="1:21" x14ac:dyDescent="0.25">
      <c r="A13" s="83"/>
      <c r="B13" s="84"/>
      <c r="C13" s="84"/>
      <c r="D13" s="84"/>
      <c r="E13" s="84"/>
      <c r="F13" s="84"/>
      <c r="G13" s="84"/>
      <c r="H13" s="84"/>
      <c r="I13" s="85"/>
      <c r="K13" s="22"/>
      <c r="O13" s="23"/>
      <c r="P13" s="22"/>
      <c r="U13" s="23"/>
    </row>
    <row r="14" spans="1:21" x14ac:dyDescent="0.25">
      <c r="A14" s="83"/>
      <c r="B14" s="84"/>
      <c r="C14" s="84"/>
      <c r="D14" s="84"/>
      <c r="E14" s="84"/>
      <c r="F14" s="84"/>
      <c r="G14" s="84"/>
      <c r="H14" s="84"/>
      <c r="I14" s="85"/>
      <c r="K14" s="22"/>
      <c r="O14" s="23"/>
      <c r="P14" s="22"/>
      <c r="U14" s="23"/>
    </row>
    <row r="15" spans="1:21" x14ac:dyDescent="0.25">
      <c r="A15" s="83"/>
      <c r="B15" s="84"/>
      <c r="C15" s="84"/>
      <c r="D15" s="84"/>
      <c r="E15" s="84"/>
      <c r="F15" s="84"/>
      <c r="G15" s="84"/>
      <c r="H15" s="84"/>
      <c r="I15" s="85"/>
      <c r="K15" s="22"/>
      <c r="O15" s="23"/>
      <c r="P15" s="22"/>
      <c r="U15" s="23"/>
    </row>
    <row r="16" spans="1:21" x14ac:dyDescent="0.25">
      <c r="A16" s="83"/>
      <c r="B16" s="84"/>
      <c r="C16" s="84"/>
      <c r="D16" s="84"/>
      <c r="E16" s="84"/>
      <c r="F16" s="84"/>
      <c r="G16" s="84"/>
      <c r="H16" s="84"/>
      <c r="I16" s="85"/>
      <c r="K16" s="22"/>
      <c r="O16" s="23"/>
      <c r="P16" s="22"/>
      <c r="U16" s="23"/>
    </row>
    <row r="17" spans="1:21" x14ac:dyDescent="0.25">
      <c r="A17" s="83"/>
      <c r="B17" s="84"/>
      <c r="C17" s="84"/>
      <c r="D17" s="84"/>
      <c r="E17" s="84"/>
      <c r="F17" s="84"/>
      <c r="G17" s="84"/>
      <c r="H17" s="84"/>
      <c r="I17" s="85"/>
      <c r="K17" s="22"/>
      <c r="O17" s="23"/>
      <c r="P17" s="25"/>
      <c r="Q17" s="26"/>
      <c r="R17" s="26"/>
      <c r="S17" s="26"/>
      <c r="T17" s="26"/>
      <c r="U17" s="27"/>
    </row>
    <row r="18" spans="1:21" x14ac:dyDescent="0.25">
      <c r="A18" s="83"/>
      <c r="B18" s="84"/>
      <c r="C18" s="84"/>
      <c r="D18" s="84"/>
      <c r="E18" s="84"/>
      <c r="F18" s="84"/>
      <c r="G18" s="84"/>
      <c r="H18" s="84"/>
      <c r="I18" s="85"/>
      <c r="K18" s="22"/>
      <c r="O18" s="23"/>
    </row>
    <row r="19" spans="1:21" x14ac:dyDescent="0.25">
      <c r="A19" s="83"/>
      <c r="B19" s="84"/>
      <c r="C19" s="84"/>
      <c r="D19" s="84"/>
      <c r="E19" s="84"/>
      <c r="F19" s="84"/>
      <c r="G19" s="84"/>
      <c r="H19" s="84"/>
      <c r="I19" s="85"/>
      <c r="K19" s="22"/>
      <c r="O19" s="23"/>
    </row>
    <row r="20" spans="1:21" x14ac:dyDescent="0.25">
      <c r="A20" s="83"/>
      <c r="B20" s="84"/>
      <c r="C20" s="84"/>
      <c r="D20" s="84"/>
      <c r="E20" s="84"/>
      <c r="F20" s="84"/>
      <c r="G20" s="84"/>
      <c r="H20" s="84"/>
      <c r="I20" s="85"/>
      <c r="K20" s="22"/>
      <c r="O20" s="23"/>
    </row>
    <row r="21" spans="1:21" x14ac:dyDescent="0.25">
      <c r="A21" s="83"/>
      <c r="B21" s="84"/>
      <c r="C21" s="84"/>
      <c r="D21" s="84"/>
      <c r="E21" s="84"/>
      <c r="F21" s="84"/>
      <c r="G21" s="84"/>
      <c r="H21" s="84"/>
      <c r="I21" s="85"/>
      <c r="K21" s="22"/>
      <c r="O21" s="23"/>
    </row>
    <row r="22" spans="1:21" x14ac:dyDescent="0.25">
      <c r="A22" s="83"/>
      <c r="B22" s="84"/>
      <c r="C22" s="84"/>
      <c r="D22" s="84"/>
      <c r="E22" s="84"/>
      <c r="F22" s="84"/>
      <c r="G22" s="84"/>
      <c r="H22" s="84"/>
      <c r="I22" s="85"/>
      <c r="K22" s="22"/>
      <c r="O22" s="23"/>
    </row>
    <row r="23" spans="1:21" x14ac:dyDescent="0.25">
      <c r="A23" s="83"/>
      <c r="B23" s="84"/>
      <c r="C23" s="84"/>
      <c r="D23" s="84"/>
      <c r="E23" s="84"/>
      <c r="F23" s="84"/>
      <c r="G23" s="84"/>
      <c r="H23" s="84"/>
      <c r="I23" s="85"/>
      <c r="K23" s="22"/>
      <c r="O23" s="23"/>
    </row>
    <row r="24" spans="1:21" x14ac:dyDescent="0.25">
      <c r="A24" s="83"/>
      <c r="B24" s="84"/>
      <c r="C24" s="84"/>
      <c r="D24" s="84"/>
      <c r="E24" s="84"/>
      <c r="F24" s="84"/>
      <c r="G24" s="84"/>
      <c r="H24" s="84"/>
      <c r="I24" s="85"/>
      <c r="K24" s="22"/>
      <c r="O24" s="23"/>
    </row>
    <row r="25" spans="1:21" x14ac:dyDescent="0.25">
      <c r="A25" s="83"/>
      <c r="B25" s="84"/>
      <c r="C25" s="84"/>
      <c r="D25" s="84"/>
      <c r="E25" s="84"/>
      <c r="F25" s="84"/>
      <c r="G25" s="84"/>
      <c r="H25" s="84"/>
      <c r="I25" s="85"/>
      <c r="K25" s="22"/>
      <c r="O25" s="23"/>
    </row>
    <row r="26" spans="1:21" x14ac:dyDescent="0.25">
      <c r="A26" s="83"/>
      <c r="B26" s="84"/>
      <c r="C26" s="84"/>
      <c r="D26" s="84"/>
      <c r="E26" s="84"/>
      <c r="F26" s="84"/>
      <c r="G26" s="84"/>
      <c r="H26" s="84"/>
      <c r="I26" s="85"/>
      <c r="K26" s="22"/>
      <c r="O26" s="23"/>
    </row>
    <row r="27" spans="1:21" x14ac:dyDescent="0.25">
      <c r="A27" s="83"/>
      <c r="B27" s="84"/>
      <c r="C27" s="84"/>
      <c r="D27" s="84"/>
      <c r="E27" s="84"/>
      <c r="F27" s="84"/>
      <c r="G27" s="84"/>
      <c r="H27" s="84"/>
      <c r="I27" s="85"/>
      <c r="K27" s="22"/>
      <c r="O27" s="23"/>
    </row>
    <row r="28" spans="1:21" x14ac:dyDescent="0.25">
      <c r="A28" s="83"/>
      <c r="B28" s="84"/>
      <c r="C28" s="84"/>
      <c r="D28" s="84"/>
      <c r="E28" s="84"/>
      <c r="F28" s="84"/>
      <c r="G28" s="84"/>
      <c r="H28" s="84"/>
      <c r="I28" s="85"/>
      <c r="K28" s="22"/>
      <c r="O28" s="23"/>
    </row>
    <row r="29" spans="1:21" x14ac:dyDescent="0.25">
      <c r="A29" s="83"/>
      <c r="B29" s="84"/>
      <c r="C29" s="84"/>
      <c r="D29" s="84"/>
      <c r="E29" s="84"/>
      <c r="F29" s="84"/>
      <c r="G29" s="84"/>
      <c r="H29" s="84"/>
      <c r="I29" s="85"/>
      <c r="K29" s="25"/>
      <c r="L29" s="26"/>
      <c r="M29" s="26"/>
      <c r="N29" s="26"/>
      <c r="O29" s="27"/>
    </row>
    <row r="30" spans="1:21" ht="15.75" thickBot="1" x14ac:dyDescent="0.3">
      <c r="A30" s="86"/>
      <c r="B30" s="87"/>
      <c r="C30" s="87"/>
      <c r="D30" s="87"/>
      <c r="E30" s="87"/>
      <c r="F30" s="87"/>
      <c r="G30" s="87"/>
      <c r="H30" s="87"/>
      <c r="I30" s="88"/>
    </row>
    <row r="31" spans="1:21" ht="15.75" thickBot="1" x14ac:dyDescent="0.3"/>
    <row r="32" spans="1:21" x14ac:dyDescent="0.25">
      <c r="C32" s="89" t="s">
        <v>19</v>
      </c>
      <c r="D32" s="90"/>
      <c r="E32" s="90"/>
      <c r="F32" s="91"/>
    </row>
    <row r="33" spans="3:6" ht="15.75" thickBot="1" x14ac:dyDescent="0.3">
      <c r="C33" s="92"/>
      <c r="D33" s="93"/>
      <c r="E33" s="93"/>
      <c r="F33" s="94"/>
    </row>
    <row r="34" spans="3:6" ht="15.75" thickBot="1" x14ac:dyDescent="0.3">
      <c r="C34" s="29" t="s">
        <v>20</v>
      </c>
      <c r="D34" s="95" t="s">
        <v>21</v>
      </c>
      <c r="E34" s="96"/>
      <c r="F34" s="97"/>
    </row>
    <row r="35" spans="3:6" ht="15.75" thickBot="1" x14ac:dyDescent="0.3">
      <c r="C35" s="29" t="s">
        <v>22</v>
      </c>
      <c r="D35" s="98" t="s">
        <v>23</v>
      </c>
      <c r="E35" s="99"/>
      <c r="F35" s="100"/>
    </row>
  </sheetData>
  <sheetProtection sheet="1" objects="1" scenarios="1" sort="0" autoFilter="0"/>
  <mergeCells count="4">
    <mergeCell ref="A1:I30"/>
    <mergeCell ref="C32:F33"/>
    <mergeCell ref="D34:F34"/>
    <mergeCell ref="D35:F35"/>
  </mergeCells>
  <hyperlinks>
    <hyperlink ref="D34" r:id="rId1" xr:uid="{00000000-0004-0000-0000-000000000000}"/>
    <hyperlink ref="D35" r:id="rId2" xr:uid="{00000000-0004-0000-0000-000001000000}"/>
  </hyperlinks>
  <pageMargins left="0.7" right="0.7" top="0.75" bottom="0.75" header="0.3" footer="0.3"/>
  <pageSetup paperSize="119" orientation="portrait" horizontalDpi="300" verticalDpi="30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84"/>
  <sheetViews>
    <sheetView zoomScaleNormal="100" workbookViewId="0">
      <selection activeCell="A2" sqref="A2"/>
    </sheetView>
  </sheetViews>
  <sheetFormatPr defaultColWidth="9.140625" defaultRowHeight="15" x14ac:dyDescent="0.25"/>
  <cols>
    <col min="1" max="1" width="23.7109375" style="11" bestFit="1" customWidth="1"/>
    <col min="2" max="5" width="10.7109375" style="11" customWidth="1"/>
    <col min="6" max="6" width="109.28515625" style="11" customWidth="1"/>
    <col min="7" max="16384" width="9.140625" style="11"/>
  </cols>
  <sheetData>
    <row r="1" spans="1:6" ht="15.75" thickBot="1" x14ac:dyDescent="0.3">
      <c r="A1" s="9" t="s">
        <v>3</v>
      </c>
      <c r="B1" s="60" t="s">
        <v>4</v>
      </c>
      <c r="C1" s="60" t="s">
        <v>5</v>
      </c>
      <c r="D1" s="60" t="s">
        <v>37</v>
      </c>
      <c r="E1" s="61" t="s">
        <v>6</v>
      </c>
      <c r="F1" s="60" t="s">
        <v>38</v>
      </c>
    </row>
    <row r="2" spans="1:6" ht="15.75" thickBot="1" x14ac:dyDescent="0.3">
      <c r="A2" s="10"/>
      <c r="B2" s="12"/>
      <c r="C2" s="13"/>
      <c r="D2" s="77" t="str">
        <f>IF(OR(Hidden!A2="",Hidden!B2=""), "", Hidden!B2-Hidden!A2)</f>
        <v/>
      </c>
      <c r="E2" s="78" t="str">
        <f t="shared" ref="E2:E51" si="0">IF(D2="", "", D2*24)</f>
        <v/>
      </c>
      <c r="F2" s="56"/>
    </row>
    <row r="3" spans="1:6" ht="15.75" thickBot="1" x14ac:dyDescent="0.3">
      <c r="A3" s="10"/>
      <c r="B3" s="14"/>
      <c r="C3" s="15"/>
      <c r="D3" s="79" t="str">
        <f>IF(OR(Hidden!A3="",Hidden!B3=""), "", Hidden!B3-Hidden!A3)</f>
        <v/>
      </c>
      <c r="E3" s="17" t="str">
        <f t="shared" si="0"/>
        <v/>
      </c>
      <c r="F3" s="57"/>
    </row>
    <row r="4" spans="1:6" ht="15.75" thickBot="1" x14ac:dyDescent="0.3">
      <c r="A4" s="10"/>
      <c r="B4" s="14"/>
      <c r="C4" s="15"/>
      <c r="D4" s="79" t="str">
        <f>IF(OR(Hidden!A4="",Hidden!B4=""), "", Hidden!B4-Hidden!A4)</f>
        <v/>
      </c>
      <c r="E4" s="17" t="str">
        <f t="shared" si="0"/>
        <v/>
      </c>
      <c r="F4" s="57"/>
    </row>
    <row r="5" spans="1:6" ht="15.75" thickBot="1" x14ac:dyDescent="0.3">
      <c r="A5" s="10"/>
      <c r="B5" s="14"/>
      <c r="C5" s="15"/>
      <c r="D5" s="79" t="str">
        <f>IF(OR(Hidden!A5="",Hidden!B5=""), "", Hidden!B5-Hidden!A5)</f>
        <v/>
      </c>
      <c r="E5" s="17" t="str">
        <f t="shared" si="0"/>
        <v/>
      </c>
      <c r="F5" s="57"/>
    </row>
    <row r="6" spans="1:6" ht="15.75" thickBot="1" x14ac:dyDescent="0.3">
      <c r="A6" s="10"/>
      <c r="B6" s="14"/>
      <c r="C6" s="15"/>
      <c r="D6" s="79" t="str">
        <f>IF(OR(Hidden!A6="",Hidden!B6=""), "", Hidden!B6-Hidden!A6)</f>
        <v/>
      </c>
      <c r="E6" s="17" t="str">
        <f t="shared" si="0"/>
        <v/>
      </c>
      <c r="F6" s="57"/>
    </row>
    <row r="7" spans="1:6" ht="15.75" thickBot="1" x14ac:dyDescent="0.3">
      <c r="A7" s="10"/>
      <c r="B7" s="14"/>
      <c r="C7" s="15"/>
      <c r="D7" s="79" t="str">
        <f>IF(OR(Hidden!A7="",Hidden!B7=""), "", Hidden!B7-Hidden!A7)</f>
        <v/>
      </c>
      <c r="E7" s="17" t="str">
        <f t="shared" si="0"/>
        <v/>
      </c>
      <c r="F7" s="57"/>
    </row>
    <row r="8" spans="1:6" ht="15.75" thickBot="1" x14ac:dyDescent="0.3">
      <c r="A8" s="10"/>
      <c r="B8" s="14"/>
      <c r="C8" s="15"/>
      <c r="D8" s="79" t="str">
        <f>IF(OR(Hidden!A8="",Hidden!B8=""), "", Hidden!B8-Hidden!A8)</f>
        <v/>
      </c>
      <c r="E8" s="17" t="str">
        <f t="shared" si="0"/>
        <v/>
      </c>
      <c r="F8" s="57"/>
    </row>
    <row r="9" spans="1:6" ht="15.75" thickBot="1" x14ac:dyDescent="0.3">
      <c r="A9" s="10"/>
      <c r="B9" s="14"/>
      <c r="C9" s="15"/>
      <c r="D9" s="79" t="str">
        <f>IF(OR(Hidden!A9="",Hidden!B9=""), "", Hidden!B9-Hidden!A9)</f>
        <v/>
      </c>
      <c r="E9" s="17" t="str">
        <f t="shared" si="0"/>
        <v/>
      </c>
      <c r="F9" s="57"/>
    </row>
    <row r="10" spans="1:6" ht="15.75" thickBot="1" x14ac:dyDescent="0.3">
      <c r="A10" s="10"/>
      <c r="B10" s="14"/>
      <c r="C10" s="15"/>
      <c r="D10" s="79" t="str">
        <f>IF(OR(Hidden!A10="",Hidden!B10=""), "", Hidden!B10-Hidden!A10)</f>
        <v/>
      </c>
      <c r="E10" s="17" t="str">
        <f t="shared" si="0"/>
        <v/>
      </c>
      <c r="F10" s="57"/>
    </row>
    <row r="11" spans="1:6" ht="15.75" thickBot="1" x14ac:dyDescent="0.3">
      <c r="A11" s="10"/>
      <c r="B11" s="14"/>
      <c r="C11" s="15"/>
      <c r="D11" s="79" t="str">
        <f>IF(OR(Hidden!A11="",Hidden!B11=""), "", Hidden!B11-Hidden!A11)</f>
        <v/>
      </c>
      <c r="E11" s="17" t="str">
        <f t="shared" si="0"/>
        <v/>
      </c>
      <c r="F11" s="57"/>
    </row>
    <row r="12" spans="1:6" ht="15.75" thickBot="1" x14ac:dyDescent="0.3">
      <c r="A12" s="10"/>
      <c r="B12" s="14"/>
      <c r="C12" s="15"/>
      <c r="D12" s="79" t="str">
        <f>IF(OR(Hidden!A12="",Hidden!B12=""), "", Hidden!B12-Hidden!A12)</f>
        <v/>
      </c>
      <c r="E12" s="17" t="str">
        <f t="shared" si="0"/>
        <v/>
      </c>
      <c r="F12" s="57"/>
    </row>
    <row r="13" spans="1:6" ht="15.75" thickBot="1" x14ac:dyDescent="0.3">
      <c r="A13" s="10"/>
      <c r="B13" s="14"/>
      <c r="C13" s="15"/>
      <c r="D13" s="79" t="str">
        <f>IF(OR(Hidden!A13="",Hidden!B13=""), "", Hidden!B13-Hidden!A13)</f>
        <v/>
      </c>
      <c r="E13" s="17" t="str">
        <f t="shared" si="0"/>
        <v/>
      </c>
      <c r="F13" s="57"/>
    </row>
    <row r="14" spans="1:6" ht="15.75" thickBot="1" x14ac:dyDescent="0.3">
      <c r="A14" s="10"/>
      <c r="B14" s="14"/>
      <c r="C14" s="15"/>
      <c r="D14" s="79" t="str">
        <f>IF(OR(Hidden!A14="",Hidden!B14=""), "", Hidden!B14-Hidden!A14)</f>
        <v/>
      </c>
      <c r="E14" s="17" t="str">
        <f t="shared" si="0"/>
        <v/>
      </c>
      <c r="F14" s="57"/>
    </row>
    <row r="15" spans="1:6" ht="15.75" thickBot="1" x14ac:dyDescent="0.3">
      <c r="A15" s="10"/>
      <c r="B15" s="14"/>
      <c r="C15" s="15"/>
      <c r="D15" s="79" t="str">
        <f>IF(OR(Hidden!A15="",Hidden!B15=""), "", Hidden!B15-Hidden!A15)</f>
        <v/>
      </c>
      <c r="E15" s="17" t="str">
        <f t="shared" si="0"/>
        <v/>
      </c>
      <c r="F15" s="57"/>
    </row>
    <row r="16" spans="1:6" ht="15.75" hidden="1" thickBot="1" x14ac:dyDescent="0.3">
      <c r="A16" s="10"/>
      <c r="B16" s="14"/>
      <c r="C16" s="15"/>
      <c r="D16" s="79" t="str">
        <f>IF(OR(Hidden!A16="",Hidden!B16=""), "", Hidden!B16-Hidden!A16)</f>
        <v/>
      </c>
      <c r="E16" s="17" t="str">
        <f t="shared" si="0"/>
        <v/>
      </c>
      <c r="F16" s="57"/>
    </row>
    <row r="17" spans="1:6" ht="15.75" hidden="1" thickBot="1" x14ac:dyDescent="0.3">
      <c r="A17" s="10"/>
      <c r="B17" s="14"/>
      <c r="C17" s="15"/>
      <c r="D17" s="79" t="str">
        <f>IF(OR(Hidden!A17="",Hidden!B17=""), "", Hidden!B17-Hidden!A17)</f>
        <v/>
      </c>
      <c r="E17" s="17" t="str">
        <f t="shared" si="0"/>
        <v/>
      </c>
      <c r="F17" s="57"/>
    </row>
    <row r="18" spans="1:6" ht="15.75" hidden="1" thickBot="1" x14ac:dyDescent="0.3">
      <c r="A18" s="10"/>
      <c r="B18" s="14"/>
      <c r="C18" s="15"/>
      <c r="D18" s="79" t="str">
        <f>IF(OR(Hidden!A18="",Hidden!B18=""), "", Hidden!B18-Hidden!A18)</f>
        <v/>
      </c>
      <c r="E18" s="17" t="str">
        <f t="shared" si="0"/>
        <v/>
      </c>
      <c r="F18" s="57"/>
    </row>
    <row r="19" spans="1:6" ht="15.75" hidden="1" thickBot="1" x14ac:dyDescent="0.3">
      <c r="A19" s="10"/>
      <c r="B19" s="14"/>
      <c r="C19" s="15"/>
      <c r="D19" s="79" t="str">
        <f>IF(OR(Hidden!A19="",Hidden!B19=""), "", Hidden!B19-Hidden!A19)</f>
        <v/>
      </c>
      <c r="E19" s="17" t="str">
        <f t="shared" si="0"/>
        <v/>
      </c>
      <c r="F19" s="57"/>
    </row>
    <row r="20" spans="1:6" ht="15.75" hidden="1" thickBot="1" x14ac:dyDescent="0.3">
      <c r="A20" s="10"/>
      <c r="B20" s="14"/>
      <c r="C20" s="15"/>
      <c r="D20" s="79" t="str">
        <f>IF(OR(Hidden!A20="",Hidden!B20=""), "", Hidden!B20-Hidden!A20)</f>
        <v/>
      </c>
      <c r="E20" s="17" t="str">
        <f t="shared" si="0"/>
        <v/>
      </c>
      <c r="F20" s="57"/>
    </row>
    <row r="21" spans="1:6" ht="15.75" hidden="1" thickBot="1" x14ac:dyDescent="0.3">
      <c r="A21" s="10"/>
      <c r="B21" s="14"/>
      <c r="C21" s="15"/>
      <c r="D21" s="79" t="str">
        <f>IF(OR(Hidden!A21="",Hidden!B21=""), "", Hidden!B21-Hidden!A21)</f>
        <v/>
      </c>
      <c r="E21" s="17" t="str">
        <f t="shared" si="0"/>
        <v/>
      </c>
      <c r="F21" s="57"/>
    </row>
    <row r="22" spans="1:6" ht="15.75" hidden="1" thickBot="1" x14ac:dyDescent="0.3">
      <c r="A22" s="10"/>
      <c r="B22" s="14"/>
      <c r="C22" s="15"/>
      <c r="D22" s="79" t="str">
        <f>IF(OR(Hidden!A22="",Hidden!B22=""), "", Hidden!B22-Hidden!A22)</f>
        <v/>
      </c>
      <c r="E22" s="17" t="str">
        <f t="shared" si="0"/>
        <v/>
      </c>
      <c r="F22" s="57"/>
    </row>
    <row r="23" spans="1:6" ht="15.75" hidden="1" thickBot="1" x14ac:dyDescent="0.3">
      <c r="A23" s="10"/>
      <c r="B23" s="14"/>
      <c r="C23" s="15"/>
      <c r="D23" s="79" t="str">
        <f>IF(OR(Hidden!A23="",Hidden!B23=""), "", Hidden!B23-Hidden!A23)</f>
        <v/>
      </c>
      <c r="E23" s="17" t="str">
        <f t="shared" si="0"/>
        <v/>
      </c>
      <c r="F23" s="57"/>
    </row>
    <row r="24" spans="1:6" ht="15.75" hidden="1" thickBot="1" x14ac:dyDescent="0.3">
      <c r="A24" s="10"/>
      <c r="B24" s="14"/>
      <c r="C24" s="15"/>
      <c r="D24" s="79" t="str">
        <f>IF(OR(Hidden!A24="",Hidden!B24=""), "", Hidden!B24-Hidden!A24)</f>
        <v/>
      </c>
      <c r="E24" s="17" t="str">
        <f t="shared" si="0"/>
        <v/>
      </c>
      <c r="F24" s="57"/>
    </row>
    <row r="25" spans="1:6" ht="15.75" hidden="1" thickBot="1" x14ac:dyDescent="0.3">
      <c r="A25" s="10"/>
      <c r="B25" s="14"/>
      <c r="C25" s="15"/>
      <c r="D25" s="79" t="str">
        <f>IF(OR(Hidden!A25="",Hidden!B25=""), "", Hidden!B25-Hidden!A25)</f>
        <v/>
      </c>
      <c r="E25" s="17" t="str">
        <f t="shared" si="0"/>
        <v/>
      </c>
      <c r="F25" s="57"/>
    </row>
    <row r="26" spans="1:6" ht="15.75" hidden="1" thickBot="1" x14ac:dyDescent="0.3">
      <c r="A26" s="10"/>
      <c r="B26" s="14"/>
      <c r="C26" s="15"/>
      <c r="D26" s="79" t="str">
        <f>IF(OR(Hidden!A26="",Hidden!B26=""), "", Hidden!B26-Hidden!A26)</f>
        <v/>
      </c>
      <c r="E26" s="17" t="str">
        <f t="shared" si="0"/>
        <v/>
      </c>
      <c r="F26" s="57"/>
    </row>
    <row r="27" spans="1:6" ht="15.75" hidden="1" thickBot="1" x14ac:dyDescent="0.3">
      <c r="A27" s="10"/>
      <c r="B27" s="14"/>
      <c r="C27" s="15"/>
      <c r="D27" s="79" t="str">
        <f>IF(OR(Hidden!A27="",Hidden!B27=""), "", Hidden!B27-Hidden!A27)</f>
        <v/>
      </c>
      <c r="E27" s="17" t="str">
        <f t="shared" si="0"/>
        <v/>
      </c>
      <c r="F27" s="57"/>
    </row>
    <row r="28" spans="1:6" ht="15.75" hidden="1" thickBot="1" x14ac:dyDescent="0.3">
      <c r="A28" s="10"/>
      <c r="B28" s="14"/>
      <c r="C28" s="15"/>
      <c r="D28" s="79" t="str">
        <f>IF(OR(Hidden!A28="",Hidden!B28=""), "", Hidden!B28-Hidden!A28)</f>
        <v/>
      </c>
      <c r="E28" s="17" t="str">
        <f t="shared" si="0"/>
        <v/>
      </c>
      <c r="F28" s="57"/>
    </row>
    <row r="29" spans="1:6" ht="15.75" hidden="1" thickBot="1" x14ac:dyDescent="0.3">
      <c r="A29" s="10"/>
      <c r="B29" s="14"/>
      <c r="C29" s="15"/>
      <c r="D29" s="79" t="str">
        <f>IF(OR(Hidden!A29="",Hidden!B29=""), "", Hidden!B29-Hidden!A29)</f>
        <v/>
      </c>
      <c r="E29" s="17" t="str">
        <f t="shared" si="0"/>
        <v/>
      </c>
      <c r="F29" s="57"/>
    </row>
    <row r="30" spans="1:6" ht="15.75" hidden="1" thickBot="1" x14ac:dyDescent="0.3">
      <c r="A30" s="10"/>
      <c r="B30" s="14"/>
      <c r="C30" s="15"/>
      <c r="D30" s="79" t="str">
        <f>IF(OR(Hidden!A30="",Hidden!B30=""), "", Hidden!B30-Hidden!A30)</f>
        <v/>
      </c>
      <c r="E30" s="17" t="str">
        <f t="shared" si="0"/>
        <v/>
      </c>
      <c r="F30" s="57"/>
    </row>
    <row r="31" spans="1:6" ht="15.75" hidden="1" thickBot="1" x14ac:dyDescent="0.3">
      <c r="A31" s="10"/>
      <c r="B31" s="14"/>
      <c r="C31" s="15"/>
      <c r="D31" s="79" t="str">
        <f>IF(OR(Hidden!A31="",Hidden!B31=""), "", Hidden!B31-Hidden!A31)</f>
        <v/>
      </c>
      <c r="E31" s="17" t="str">
        <f t="shared" si="0"/>
        <v/>
      </c>
      <c r="F31" s="57"/>
    </row>
    <row r="32" spans="1:6" ht="15.75" hidden="1" thickBot="1" x14ac:dyDescent="0.3">
      <c r="A32" s="10"/>
      <c r="B32" s="14"/>
      <c r="C32" s="15"/>
      <c r="D32" s="79" t="str">
        <f>IF(OR(Hidden!A32="",Hidden!B32=""), "", Hidden!B32-Hidden!A32)</f>
        <v/>
      </c>
      <c r="E32" s="17" t="str">
        <f t="shared" si="0"/>
        <v/>
      </c>
      <c r="F32" s="57"/>
    </row>
    <row r="33" spans="1:6" ht="15.75" hidden="1" thickBot="1" x14ac:dyDescent="0.3">
      <c r="A33" s="10"/>
      <c r="B33" s="14"/>
      <c r="C33" s="15"/>
      <c r="D33" s="79" t="str">
        <f>IF(OR(Hidden!A33="",Hidden!B33=""), "", Hidden!B33-Hidden!A33)</f>
        <v/>
      </c>
      <c r="E33" s="17" t="str">
        <f t="shared" si="0"/>
        <v/>
      </c>
      <c r="F33" s="57"/>
    </row>
    <row r="34" spans="1:6" ht="15.75" hidden="1" thickBot="1" x14ac:dyDescent="0.3">
      <c r="A34" s="10"/>
      <c r="B34" s="14"/>
      <c r="C34" s="15"/>
      <c r="D34" s="79" t="str">
        <f>IF(OR(Hidden!A34="",Hidden!B34=""), "", Hidden!B34-Hidden!A34)</f>
        <v/>
      </c>
      <c r="E34" s="17" t="str">
        <f t="shared" si="0"/>
        <v/>
      </c>
      <c r="F34" s="57"/>
    </row>
    <row r="35" spans="1:6" ht="15.75" hidden="1" thickBot="1" x14ac:dyDescent="0.3">
      <c r="A35" s="10"/>
      <c r="B35" s="14"/>
      <c r="C35" s="15"/>
      <c r="D35" s="79" t="str">
        <f>IF(OR(Hidden!A35="",Hidden!B35=""), "", Hidden!B35-Hidden!A35)</f>
        <v/>
      </c>
      <c r="E35" s="17" t="str">
        <f t="shared" si="0"/>
        <v/>
      </c>
      <c r="F35" s="57"/>
    </row>
    <row r="36" spans="1:6" ht="15.75" hidden="1" thickBot="1" x14ac:dyDescent="0.3">
      <c r="A36" s="10"/>
      <c r="B36" s="14"/>
      <c r="C36" s="15"/>
      <c r="D36" s="79" t="str">
        <f>IF(OR(Hidden!A36="",Hidden!B36=""), "", Hidden!B36-Hidden!A36)</f>
        <v/>
      </c>
      <c r="E36" s="17" t="str">
        <f t="shared" si="0"/>
        <v/>
      </c>
      <c r="F36" s="57"/>
    </row>
    <row r="37" spans="1:6" ht="15.75" hidden="1" thickBot="1" x14ac:dyDescent="0.3">
      <c r="A37" s="10"/>
      <c r="B37" s="14"/>
      <c r="C37" s="15"/>
      <c r="D37" s="79" t="str">
        <f>IF(OR(Hidden!A37="",Hidden!B37=""), "", Hidden!B37-Hidden!A37)</f>
        <v/>
      </c>
      <c r="E37" s="17" t="str">
        <f t="shared" si="0"/>
        <v/>
      </c>
      <c r="F37" s="57"/>
    </row>
    <row r="38" spans="1:6" ht="15.75" hidden="1" thickBot="1" x14ac:dyDescent="0.3">
      <c r="A38" s="10"/>
      <c r="B38" s="14"/>
      <c r="C38" s="15"/>
      <c r="D38" s="79" t="str">
        <f>IF(OR(Hidden!A38="",Hidden!B38=""), "", Hidden!B38-Hidden!A38)</f>
        <v/>
      </c>
      <c r="E38" s="17" t="str">
        <f t="shared" si="0"/>
        <v/>
      </c>
      <c r="F38" s="57"/>
    </row>
    <row r="39" spans="1:6" ht="15.75" hidden="1" thickBot="1" x14ac:dyDescent="0.3">
      <c r="A39" s="10"/>
      <c r="B39" s="14"/>
      <c r="C39" s="15"/>
      <c r="D39" s="79" t="str">
        <f>IF(OR(Hidden!A39="",Hidden!B39=""), "", Hidden!B39-Hidden!A39)</f>
        <v/>
      </c>
      <c r="E39" s="17" t="str">
        <f t="shared" si="0"/>
        <v/>
      </c>
      <c r="F39" s="57"/>
    </row>
    <row r="40" spans="1:6" ht="15.75" hidden="1" thickBot="1" x14ac:dyDescent="0.3">
      <c r="A40" s="10"/>
      <c r="B40" s="14"/>
      <c r="C40" s="15"/>
      <c r="D40" s="79" t="str">
        <f>IF(OR(Hidden!A40="",Hidden!B40=""), "", Hidden!B40-Hidden!A40)</f>
        <v/>
      </c>
      <c r="E40" s="17" t="str">
        <f t="shared" si="0"/>
        <v/>
      </c>
      <c r="F40" s="57"/>
    </row>
    <row r="41" spans="1:6" ht="15.75" hidden="1" thickBot="1" x14ac:dyDescent="0.3">
      <c r="A41" s="10"/>
      <c r="B41" s="14"/>
      <c r="C41" s="15"/>
      <c r="D41" s="79" t="str">
        <f>IF(OR(Hidden!A41="",Hidden!B41=""), "", Hidden!B41-Hidden!A41)</f>
        <v/>
      </c>
      <c r="E41" s="17" t="str">
        <f t="shared" si="0"/>
        <v/>
      </c>
      <c r="F41" s="55"/>
    </row>
    <row r="42" spans="1:6" ht="15.75" hidden="1" thickBot="1" x14ac:dyDescent="0.3">
      <c r="A42" s="10"/>
      <c r="B42" s="14"/>
      <c r="C42" s="15"/>
      <c r="D42" s="79" t="str">
        <f>IF(OR(Hidden!A42="",Hidden!B42=""), "", Hidden!B42-Hidden!A42)</f>
        <v/>
      </c>
      <c r="E42" s="17" t="str">
        <f t="shared" si="0"/>
        <v/>
      </c>
      <c r="F42" s="57"/>
    </row>
    <row r="43" spans="1:6" ht="15.75" hidden="1" thickBot="1" x14ac:dyDescent="0.3">
      <c r="A43" s="10"/>
      <c r="B43" s="14"/>
      <c r="C43" s="15"/>
      <c r="D43" s="79" t="str">
        <f>IF(OR(Hidden!A43="",Hidden!B43=""), "", Hidden!B43-Hidden!A43)</f>
        <v/>
      </c>
      <c r="E43" s="17" t="str">
        <f t="shared" si="0"/>
        <v/>
      </c>
      <c r="F43" s="57"/>
    </row>
    <row r="44" spans="1:6" ht="15.75" hidden="1" thickBot="1" x14ac:dyDescent="0.3">
      <c r="A44" s="10"/>
      <c r="B44" s="14"/>
      <c r="C44" s="15"/>
      <c r="D44" s="79" t="str">
        <f>IF(OR(Hidden!A44="",Hidden!B44=""), "", Hidden!B44-Hidden!A44)</f>
        <v/>
      </c>
      <c r="E44" s="17" t="str">
        <f t="shared" si="0"/>
        <v/>
      </c>
      <c r="F44" s="57"/>
    </row>
    <row r="45" spans="1:6" ht="15.75" hidden="1" thickBot="1" x14ac:dyDescent="0.3">
      <c r="A45" s="10"/>
      <c r="B45" s="14"/>
      <c r="C45" s="15"/>
      <c r="D45" s="79" t="str">
        <f>IF(OR(Hidden!A45="",Hidden!B45=""), "", Hidden!B45-Hidden!A45)</f>
        <v/>
      </c>
      <c r="E45" s="17" t="str">
        <f t="shared" si="0"/>
        <v/>
      </c>
      <c r="F45" s="57"/>
    </row>
    <row r="46" spans="1:6" ht="15.75" hidden="1" thickBot="1" x14ac:dyDescent="0.3">
      <c r="A46" s="10"/>
      <c r="B46" s="14"/>
      <c r="C46" s="15"/>
      <c r="D46" s="79" t="str">
        <f>IF(OR(Hidden!A46="",Hidden!B46=""), "", Hidden!B46-Hidden!A46)</f>
        <v/>
      </c>
      <c r="E46" s="17" t="str">
        <f t="shared" si="0"/>
        <v/>
      </c>
      <c r="F46" s="57"/>
    </row>
    <row r="47" spans="1:6" ht="15.75" hidden="1" thickBot="1" x14ac:dyDescent="0.3">
      <c r="A47" s="10"/>
      <c r="B47" s="14"/>
      <c r="C47" s="15"/>
      <c r="D47" s="79" t="str">
        <f>IF(OR(Hidden!A47="",Hidden!B47=""), "", Hidden!B47-Hidden!A47)</f>
        <v/>
      </c>
      <c r="E47" s="17" t="str">
        <f t="shared" si="0"/>
        <v/>
      </c>
      <c r="F47" s="57"/>
    </row>
    <row r="48" spans="1:6" ht="15.75" hidden="1" thickBot="1" x14ac:dyDescent="0.3">
      <c r="A48" s="10"/>
      <c r="B48" s="14"/>
      <c r="C48" s="15"/>
      <c r="D48" s="79" t="str">
        <f>IF(OR(Hidden!A48="",Hidden!B48=""), "", Hidden!B48-Hidden!A48)</f>
        <v/>
      </c>
      <c r="E48" s="17" t="str">
        <f t="shared" si="0"/>
        <v/>
      </c>
      <c r="F48" s="57"/>
    </row>
    <row r="49" spans="1:6" ht="15.75" hidden="1" thickBot="1" x14ac:dyDescent="0.3">
      <c r="A49" s="10"/>
      <c r="B49" s="14"/>
      <c r="C49" s="15"/>
      <c r="D49" s="79" t="str">
        <f>IF(OR(Hidden!A49="",Hidden!B49=""), "", Hidden!B49-Hidden!A49)</f>
        <v/>
      </c>
      <c r="E49" s="17" t="str">
        <f t="shared" si="0"/>
        <v/>
      </c>
      <c r="F49" s="57"/>
    </row>
    <row r="50" spans="1:6" ht="15.75" hidden="1" thickBot="1" x14ac:dyDescent="0.3">
      <c r="A50" s="10"/>
      <c r="B50" s="14"/>
      <c r="C50" s="15"/>
      <c r="D50" s="79" t="str">
        <f>IF(OR(Hidden!A50="",Hidden!B50=""), "", Hidden!B50-Hidden!A50)</f>
        <v/>
      </c>
      <c r="E50" s="17" t="str">
        <f t="shared" si="0"/>
        <v/>
      </c>
      <c r="F50" s="57"/>
    </row>
    <row r="51" spans="1:6" ht="15.75" hidden="1" thickBot="1" x14ac:dyDescent="0.3">
      <c r="A51" s="10"/>
      <c r="B51" s="14"/>
      <c r="C51" s="15"/>
      <c r="D51" s="79" t="str">
        <f>IF(OR(Hidden!A51="",Hidden!B51=""), "", Hidden!B51-Hidden!A51)</f>
        <v/>
      </c>
      <c r="E51" s="17" t="str">
        <f t="shared" si="0"/>
        <v/>
      </c>
      <c r="F51" s="57"/>
    </row>
    <row r="52" spans="1:6" ht="15.75" thickBot="1" x14ac:dyDescent="0.3">
      <c r="A52" s="16" t="s">
        <v>0</v>
      </c>
      <c r="B52" s="63" t="str">
        <f>IF(TEXT(MIN(_xlfn.UNIQUE(Hidden!F2:'Hidden'!F51)),"0000")="0000","",TEXT(MIN(_xlfn.UNIQUE(Hidden!F2:'Hidden'!F51)),"0000"))</f>
        <v/>
      </c>
      <c r="C52" s="64" t="str">
        <f>IF(TEXT(MAX(_xlfn.UNIQUE(Hidden!G2:'Hidden'!G51)),"0000")="0000","",TEXT(MAX(_xlfn.UNIQUE(Hidden!G2:'Hidden'!G51)),"0000"))</f>
        <v/>
      </c>
      <c r="D52" s="65" t="str">
        <f>IF(OR(Hidden!A52="",Hidden!B52=""), "", Hidden!B52-Hidden!A52)</f>
        <v/>
      </c>
      <c r="E52" s="66" t="str">
        <f>IF(D52="", "", D52*24)</f>
        <v/>
      </c>
      <c r="F52" s="62" t="str">
        <f>DevMode!C2</f>
        <v>Version: 1.4</v>
      </c>
    </row>
    <row r="54" spans="1:6" x14ac:dyDescent="0.25">
      <c r="B54" s="76"/>
      <c r="C54" s="76"/>
    </row>
    <row r="55" spans="1:6" x14ac:dyDescent="0.25">
      <c r="B55" s="76"/>
      <c r="C55" s="76"/>
    </row>
    <row r="56" spans="1:6" x14ac:dyDescent="0.25">
      <c r="B56" s="76"/>
      <c r="C56" s="76"/>
    </row>
    <row r="57" spans="1:6" x14ac:dyDescent="0.25">
      <c r="B57" s="76"/>
      <c r="C57" s="76"/>
    </row>
    <row r="58" spans="1:6" x14ac:dyDescent="0.25">
      <c r="B58" s="76"/>
      <c r="C58" s="76"/>
    </row>
    <row r="59" spans="1:6" x14ac:dyDescent="0.25">
      <c r="B59" s="76"/>
      <c r="C59" s="76"/>
    </row>
    <row r="60" spans="1:6" x14ac:dyDescent="0.25">
      <c r="B60" s="76"/>
      <c r="C60" s="76"/>
    </row>
    <row r="61" spans="1:6" ht="15.75" thickBot="1" x14ac:dyDescent="0.3"/>
    <row r="62" spans="1:6" ht="15.75" thickBot="1" x14ac:dyDescent="0.3">
      <c r="A62" s="101" t="s">
        <v>36</v>
      </c>
      <c r="B62" s="102"/>
      <c r="C62" s="103"/>
    </row>
    <row r="63" spans="1:6" ht="15.75" thickBot="1" x14ac:dyDescent="0.3">
      <c r="A63" s="45" t="s">
        <v>3</v>
      </c>
      <c r="B63" s="45" t="s">
        <v>37</v>
      </c>
      <c r="C63" s="45" t="s">
        <v>6</v>
      </c>
      <c r="E63" s="130"/>
    </row>
    <row r="64" spans="1:6" ht="15.75" thickBot="1" x14ac:dyDescent="0.3">
      <c r="A64" s="52" t="str" cm="1">
        <f t="array" ref="A64">IF(IFERROR(_xlfn.UNIQUE(_xlfn._xlws.FILTER(A2:A51,A2:A51&lt;&gt;"")),"")="NOT LOGGED","",IFERROR(_xlfn.UNIQUE(_xlfn._xlws.FILTER(A2:A51,A2:A51&lt;&gt;"")),""))</f>
        <v/>
      </c>
      <c r="B64" s="46" t="str">
        <f t="shared" ref="B64:B83" si="1">IF(A64="","",SUMIF($A$2:$A$51,A64,$D$2:$D$51))</f>
        <v/>
      </c>
      <c r="C64" s="47" t="str">
        <f>IF(B64="", "", ROUNDUP(B64*24,2))</f>
        <v/>
      </c>
      <c r="E64" s="130"/>
    </row>
    <row r="65" spans="1:4" ht="15.75" thickBot="1" x14ac:dyDescent="0.3">
      <c r="A65" s="52"/>
      <c r="B65" s="48" t="str">
        <f t="shared" si="1"/>
        <v/>
      </c>
      <c r="C65" s="49" t="str">
        <f t="shared" ref="C65:C83" si="2">IF(B65="", "", ROUNDUP(B65*24,2))</f>
        <v/>
      </c>
      <c r="D65" s="129"/>
    </row>
    <row r="66" spans="1:4" ht="15.75" thickBot="1" x14ac:dyDescent="0.3">
      <c r="A66" s="52"/>
      <c r="B66" s="48" t="str">
        <f t="shared" si="1"/>
        <v/>
      </c>
      <c r="C66" s="49" t="str">
        <f t="shared" si="2"/>
        <v/>
      </c>
    </row>
    <row r="67" spans="1:4" ht="15.75" thickBot="1" x14ac:dyDescent="0.3">
      <c r="A67" s="52"/>
      <c r="B67" s="48" t="str">
        <f t="shared" si="1"/>
        <v/>
      </c>
      <c r="C67" s="49" t="str">
        <f t="shared" si="2"/>
        <v/>
      </c>
    </row>
    <row r="68" spans="1:4" ht="15.75" thickBot="1" x14ac:dyDescent="0.3">
      <c r="A68" s="52"/>
      <c r="B68" s="48" t="str">
        <f t="shared" si="1"/>
        <v/>
      </c>
      <c r="C68" s="49" t="str">
        <f t="shared" si="2"/>
        <v/>
      </c>
    </row>
    <row r="69" spans="1:4" ht="15.75" thickBot="1" x14ac:dyDescent="0.3">
      <c r="A69" s="52"/>
      <c r="B69" s="48" t="str">
        <f t="shared" si="1"/>
        <v/>
      </c>
      <c r="C69" s="49" t="str">
        <f t="shared" si="2"/>
        <v/>
      </c>
    </row>
    <row r="70" spans="1:4" ht="15.75" thickBot="1" x14ac:dyDescent="0.3">
      <c r="A70" s="52"/>
      <c r="B70" s="48" t="str">
        <f t="shared" si="1"/>
        <v/>
      </c>
      <c r="C70" s="49" t="str">
        <f t="shared" si="2"/>
        <v/>
      </c>
    </row>
    <row r="71" spans="1:4" ht="15.75" thickBot="1" x14ac:dyDescent="0.3">
      <c r="A71" s="52"/>
      <c r="B71" s="48" t="str">
        <f t="shared" si="1"/>
        <v/>
      </c>
      <c r="C71" s="49" t="str">
        <f t="shared" si="2"/>
        <v/>
      </c>
    </row>
    <row r="72" spans="1:4" ht="15.75" thickBot="1" x14ac:dyDescent="0.3">
      <c r="A72" s="52"/>
      <c r="B72" s="48" t="str">
        <f t="shared" si="1"/>
        <v/>
      </c>
      <c r="C72" s="49" t="str">
        <f t="shared" si="2"/>
        <v/>
      </c>
    </row>
    <row r="73" spans="1:4" ht="15.75" thickBot="1" x14ac:dyDescent="0.3">
      <c r="A73" s="52"/>
      <c r="B73" s="48" t="str">
        <f t="shared" si="1"/>
        <v/>
      </c>
      <c r="C73" s="49" t="str">
        <f t="shared" si="2"/>
        <v/>
      </c>
    </row>
    <row r="74" spans="1:4" ht="15.75" thickBot="1" x14ac:dyDescent="0.3">
      <c r="A74" s="52"/>
      <c r="B74" s="48" t="str">
        <f t="shared" si="1"/>
        <v/>
      </c>
      <c r="C74" s="49" t="str">
        <f t="shared" si="2"/>
        <v/>
      </c>
    </row>
    <row r="75" spans="1:4" ht="15.75" thickBot="1" x14ac:dyDescent="0.3">
      <c r="A75" s="52"/>
      <c r="B75" s="48" t="str">
        <f t="shared" si="1"/>
        <v/>
      </c>
      <c r="C75" s="49" t="str">
        <f t="shared" si="2"/>
        <v/>
      </c>
    </row>
    <row r="76" spans="1:4" ht="15.75" thickBot="1" x14ac:dyDescent="0.3">
      <c r="A76" s="52"/>
      <c r="B76" s="48" t="str">
        <f t="shared" si="1"/>
        <v/>
      </c>
      <c r="C76" s="49" t="str">
        <f t="shared" si="2"/>
        <v/>
      </c>
    </row>
    <row r="77" spans="1:4" ht="15.75" thickBot="1" x14ac:dyDescent="0.3">
      <c r="A77" s="52"/>
      <c r="B77" s="48" t="str">
        <f t="shared" si="1"/>
        <v/>
      </c>
      <c r="C77" s="49" t="str">
        <f t="shared" si="2"/>
        <v/>
      </c>
    </row>
    <row r="78" spans="1:4" ht="15.75" thickBot="1" x14ac:dyDescent="0.3">
      <c r="A78" s="52"/>
      <c r="B78" s="48" t="str">
        <f t="shared" si="1"/>
        <v/>
      </c>
      <c r="C78" s="49" t="str">
        <f t="shared" si="2"/>
        <v/>
      </c>
    </row>
    <row r="79" spans="1:4" ht="15.75" thickBot="1" x14ac:dyDescent="0.3">
      <c r="A79" s="52"/>
      <c r="B79" s="48" t="str">
        <f t="shared" si="1"/>
        <v/>
      </c>
      <c r="C79" s="49" t="str">
        <f t="shared" si="2"/>
        <v/>
      </c>
    </row>
    <row r="80" spans="1:4" ht="15.75" thickBot="1" x14ac:dyDescent="0.3">
      <c r="A80" s="52"/>
      <c r="B80" s="48" t="str">
        <f t="shared" si="1"/>
        <v/>
      </c>
      <c r="C80" s="49" t="str">
        <f t="shared" si="2"/>
        <v/>
      </c>
    </row>
    <row r="81" spans="1:5" ht="15.75" thickBot="1" x14ac:dyDescent="0.3">
      <c r="A81" s="52"/>
      <c r="B81" s="48" t="str">
        <f t="shared" si="1"/>
        <v/>
      </c>
      <c r="C81" s="49" t="str">
        <f t="shared" si="2"/>
        <v/>
      </c>
    </row>
    <row r="82" spans="1:5" ht="15.75" thickBot="1" x14ac:dyDescent="0.3">
      <c r="A82" s="52"/>
      <c r="B82" s="48" t="str">
        <f t="shared" si="1"/>
        <v/>
      </c>
      <c r="C82" s="49" t="str">
        <f t="shared" si="2"/>
        <v/>
      </c>
    </row>
    <row r="83" spans="1:5" ht="15.75" thickBot="1" x14ac:dyDescent="0.3">
      <c r="A83" s="52"/>
      <c r="B83" s="50" t="str">
        <f t="shared" si="1"/>
        <v/>
      </c>
      <c r="C83" s="51" t="str">
        <f t="shared" si="2"/>
        <v/>
      </c>
    </row>
    <row r="84" spans="1:5" ht="15.75" thickBot="1" x14ac:dyDescent="0.3">
      <c r="A84" s="53" t="s">
        <v>43</v>
      </c>
      <c r="B84" s="58" t="str">
        <f>IF(SUM(B64:B83)=0, "", SUM(B64:B83))</f>
        <v/>
      </c>
      <c r="C84" s="59" t="str">
        <f>IF(SUM(C64:C83)=0, "", SUM(C64:C83))</f>
        <v/>
      </c>
      <c r="E84" s="54"/>
    </row>
  </sheetData>
  <sheetProtection sheet="1" objects="1" scenarios="1" selectLockedCells="1" sort="0" autoFilter="0"/>
  <mergeCells count="1">
    <mergeCell ref="A62:C62"/>
  </mergeCells>
  <dataValidations count="1">
    <dataValidation type="list" allowBlank="1" showInputMessage="1" sqref="A2:A51" xr:uid="{00000000-0002-0000-0100-000000000000}">
      <formula1>LogType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set">
                <anchor moveWithCells="1" sizeWithCells="1">
                  <from>
                    <xdr:col>0</xdr:col>
                    <xdr:colOff>304800</xdr:colOff>
                    <xdr:row>55</xdr:row>
                    <xdr:rowOff>76200</xdr:rowOff>
                  </from>
                  <to>
                    <xdr:col>0</xdr:col>
                    <xdr:colOff>1304925</xdr:colOff>
                    <xdr:row>56</xdr:row>
                    <xdr:rowOff>161925</xdr:rowOff>
                  </to>
                </anchor>
              </controlPr>
            </control>
          </mc:Choice>
        </mc:AlternateContent>
        <mc:AlternateContent xmlns:mc="http://schemas.openxmlformats.org/markup-compatibility/2006">
          <mc:Choice Requires="x14">
            <control shapeId="1028" r:id="rId5" name="Button 4">
              <controlPr defaultSize="0" print="0" autoFill="0" autoPict="0" macro="[0]!Export">
                <anchor moveWithCells="1" sizeWithCells="1">
                  <from>
                    <xdr:col>0</xdr:col>
                    <xdr:colOff>304800</xdr:colOff>
                    <xdr:row>53</xdr:row>
                    <xdr:rowOff>9525</xdr:rowOff>
                  </from>
                  <to>
                    <xdr:col>0</xdr:col>
                    <xdr:colOff>1304925</xdr:colOff>
                    <xdr:row>54</xdr:row>
                    <xdr:rowOff>95250</xdr:rowOff>
                  </to>
                </anchor>
              </controlPr>
            </control>
          </mc:Choice>
        </mc:AlternateContent>
        <mc:AlternateContent xmlns:mc="http://schemas.openxmlformats.org/markup-compatibility/2006">
          <mc:Choice Requires="x14">
            <control shapeId="1029" r:id="rId6" name="ChkBx_ExitAfterExport">
              <controlPr defaultSize="0" autoFill="0" autoLine="0" autoPict="0">
                <anchor moveWithCells="1">
                  <from>
                    <xdr:col>1</xdr:col>
                    <xdr:colOff>142875</xdr:colOff>
                    <xdr:row>53</xdr:row>
                    <xdr:rowOff>0</xdr:rowOff>
                  </from>
                  <to>
                    <xdr:col>2</xdr:col>
                    <xdr:colOff>571500</xdr:colOff>
                    <xdr:row>54</xdr:row>
                    <xdr:rowOff>38100</xdr:rowOff>
                  </to>
                </anchor>
              </controlPr>
            </control>
          </mc:Choice>
        </mc:AlternateContent>
        <mc:AlternateContent xmlns:mc="http://schemas.openxmlformats.org/markup-compatibility/2006">
          <mc:Choice Requires="x14">
            <control shapeId="1038" r:id="rId7" name="ChkBx_Show16_27">
              <controlPr defaultSize="0" autoFill="0" autoLine="0" autoPict="0" macro="[0]!Show16_27" altText="Hide Rows 16-27">
                <anchor moveWithCells="1">
                  <from>
                    <xdr:col>1</xdr:col>
                    <xdr:colOff>142875</xdr:colOff>
                    <xdr:row>54</xdr:row>
                    <xdr:rowOff>76200</xdr:rowOff>
                  </from>
                  <to>
                    <xdr:col>2</xdr:col>
                    <xdr:colOff>571500</xdr:colOff>
                    <xdr:row>55</xdr:row>
                    <xdr:rowOff>114300</xdr:rowOff>
                  </to>
                </anchor>
              </controlPr>
            </control>
          </mc:Choice>
        </mc:AlternateContent>
        <mc:AlternateContent xmlns:mc="http://schemas.openxmlformats.org/markup-compatibility/2006">
          <mc:Choice Requires="x14">
            <control shapeId="1040" r:id="rId8" name="ChkBx_Show28_39">
              <controlPr defaultSize="0" autoFill="0" autoLine="0" autoPict="0" macro="[0]!Show28_39">
                <anchor moveWithCells="1">
                  <from>
                    <xdr:col>1</xdr:col>
                    <xdr:colOff>142875</xdr:colOff>
                    <xdr:row>55</xdr:row>
                    <xdr:rowOff>152400</xdr:rowOff>
                  </from>
                  <to>
                    <xdr:col>2</xdr:col>
                    <xdr:colOff>571500</xdr:colOff>
                    <xdr:row>57</xdr:row>
                    <xdr:rowOff>0</xdr:rowOff>
                  </to>
                </anchor>
              </controlPr>
            </control>
          </mc:Choice>
        </mc:AlternateContent>
        <mc:AlternateContent xmlns:mc="http://schemas.openxmlformats.org/markup-compatibility/2006">
          <mc:Choice Requires="x14">
            <control shapeId="1041" r:id="rId9" name="ChkBx_Show40_51">
              <controlPr defaultSize="0" autoFill="0" autoLine="0" autoPict="0" macro="[0]!Show40_51" altText="Show Rows 40-51">
                <anchor moveWithCells="1">
                  <from>
                    <xdr:col>1</xdr:col>
                    <xdr:colOff>142875</xdr:colOff>
                    <xdr:row>57</xdr:row>
                    <xdr:rowOff>38100</xdr:rowOff>
                  </from>
                  <to>
                    <xdr:col>2</xdr:col>
                    <xdr:colOff>571500</xdr:colOff>
                    <xdr:row>58</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G55"/>
  <sheetViews>
    <sheetView topLeftCell="A22" workbookViewId="0">
      <selection activeCell="C52" sqref="C52"/>
    </sheetView>
  </sheetViews>
  <sheetFormatPr defaultColWidth="9.140625" defaultRowHeight="15" x14ac:dyDescent="0.25"/>
  <cols>
    <col min="1" max="2" width="10.7109375" style="1" customWidth="1"/>
    <col min="3" max="5" width="50.7109375" style="1" customWidth="1"/>
    <col min="6" max="6" width="12.140625" style="1" bestFit="1" customWidth="1"/>
    <col min="7" max="7" width="11.28515625" style="1" bestFit="1" customWidth="1"/>
    <col min="8" max="16384" width="9.140625" style="1"/>
  </cols>
  <sheetData>
    <row r="1" spans="1:7" ht="15.75" thickBot="1" x14ac:dyDescent="0.3">
      <c r="A1" s="6" t="s">
        <v>7</v>
      </c>
      <c r="B1" s="30" t="s">
        <v>8</v>
      </c>
      <c r="C1" s="6" t="s">
        <v>9</v>
      </c>
      <c r="D1" s="31" t="s">
        <v>10</v>
      </c>
      <c r="E1" s="6" t="s">
        <v>11</v>
      </c>
      <c r="F1" s="6" t="s">
        <v>12</v>
      </c>
      <c r="G1" s="6" t="s">
        <v>13</v>
      </c>
    </row>
    <row r="2" spans="1:7" x14ac:dyDescent="0.25">
      <c r="A2" s="7" t="str">
        <f>IF(TEXT(Logs!B2,"0000")="0000","",TIMEVALUE(REPLACE(TEXT(Logs!B2,"0000"),3,0,":")))</f>
        <v/>
      </c>
      <c r="B2" s="43" t="str">
        <f>IF(TEXT(Logs!C2,"0000")="0000","",TIMEVALUE(REPLACE(TEXT(Logs!C2,"0000"),3,0,":")))</f>
        <v/>
      </c>
      <c r="C2" s="32" t="str">
        <f>IF(OR(Logs!A2="",Logs!D2=""),"","From "&amp;TEXT(Logs!B2,"0000")&amp;" to "&amp;TEXT(Logs!C2, "0000")&amp;" - "&amp;Logs!A2&amp; " ("&amp;TEXT(Logs!E2,"0.00")&amp;" Hours)")</f>
        <v/>
      </c>
      <c r="D2" s="67"/>
      <c r="E2" s="67"/>
      <c r="F2" s="2" t="str">
        <f>IF(VALUE(Logs!B2)=0,"",VALUE(Logs!B2))</f>
        <v/>
      </c>
      <c r="G2" s="3" t="str">
        <f>IF(VALUE(Logs!C2)=0,"",VALUE(Logs!C2))</f>
        <v/>
      </c>
    </row>
    <row r="3" spans="1:7" x14ac:dyDescent="0.25">
      <c r="A3" s="8" t="str">
        <f>IF(TEXT(Logs!B3,"0000")="0000","",TIMEVALUE(REPLACE(TEXT(Logs!B3,"0000"),3,0,":")))</f>
        <v/>
      </c>
      <c r="B3" s="44" t="str">
        <f>IF(TEXT(Logs!C3,"0000")="0000","",TIMEVALUE(REPLACE(TEXT(Logs!C3,"0000"),3,0,":")))</f>
        <v/>
      </c>
      <c r="C3" s="33" t="str">
        <f>IF(OR(Logs!A3="",Logs!D3=""),"","From "&amp;TEXT(Logs!B3,"0000")&amp;" to "&amp;TEXT(Logs!C3, "0000")&amp;" - "&amp;Logs!A3&amp; " ("&amp;TEXT(Logs!E3,"0.00")&amp;" Hours)")</f>
        <v/>
      </c>
      <c r="D3" s="68"/>
      <c r="E3" s="68"/>
      <c r="F3" s="4" t="str">
        <f>IF(VALUE(Logs!B3)=0,"",VALUE(Logs!B3))</f>
        <v/>
      </c>
      <c r="G3" s="5" t="str">
        <f>IF(VALUE(Logs!C3)=0,"",VALUE(Logs!C3))</f>
        <v/>
      </c>
    </row>
    <row r="4" spans="1:7" x14ac:dyDescent="0.25">
      <c r="A4" s="8" t="str">
        <f>IF(TEXT(Logs!B4,"0000")="0000","",TIMEVALUE(REPLACE(TEXT(Logs!B4,"0000"),3,0,":")))</f>
        <v/>
      </c>
      <c r="B4" s="44" t="str">
        <f>IF(TEXT(Logs!C4,"0000")="0000","",TIMEVALUE(REPLACE(TEXT(Logs!C4,"0000"),3,0,":")))</f>
        <v/>
      </c>
      <c r="C4" s="33" t="str">
        <f>IF(OR(Logs!A4="",Logs!D4=""),"","From "&amp;TEXT(Logs!B4,"0000")&amp;" to "&amp;TEXT(Logs!C4, "0000")&amp;" - "&amp;Logs!A4&amp; " ("&amp;TEXT(Logs!E4,"0.00")&amp;" Hours)")</f>
        <v/>
      </c>
      <c r="D4" s="68"/>
      <c r="E4" s="68"/>
      <c r="F4" s="4" t="str">
        <f>IF(VALUE(Logs!B4)=0,"",VALUE(Logs!B4))</f>
        <v/>
      </c>
      <c r="G4" s="5" t="str">
        <f>IF(VALUE(Logs!C4)=0,"",VALUE(Logs!C4))</f>
        <v/>
      </c>
    </row>
    <row r="5" spans="1:7" x14ac:dyDescent="0.25">
      <c r="A5" s="8" t="str">
        <f>IF(TEXT(Logs!B5,"0000")="0000","",TIMEVALUE(REPLACE(TEXT(Logs!B5,"0000"),3,0,":")))</f>
        <v/>
      </c>
      <c r="B5" s="44" t="str">
        <f>IF(TEXT(Logs!C5,"0000")="0000","",TIMEVALUE(REPLACE(TEXT(Logs!C5,"0000"),3,0,":")))</f>
        <v/>
      </c>
      <c r="C5" s="33" t="str">
        <f>IF(OR(Logs!A5="",Logs!D5=""),"","From "&amp;TEXT(Logs!B5,"0000")&amp;" to "&amp;TEXT(Logs!C5, "0000")&amp;" - "&amp;Logs!A5&amp; " ("&amp;TEXT(Logs!E5,"0.00")&amp;" Hours)")</f>
        <v/>
      </c>
      <c r="D5" s="68"/>
      <c r="E5" s="68"/>
      <c r="F5" s="4" t="str">
        <f>IF(VALUE(Logs!B5)=0,"",VALUE(Logs!B5))</f>
        <v/>
      </c>
      <c r="G5" s="5" t="str">
        <f>IF(VALUE(Logs!C5)=0,"",VALUE(Logs!C5))</f>
        <v/>
      </c>
    </row>
    <row r="6" spans="1:7" x14ac:dyDescent="0.25">
      <c r="A6" s="8" t="str">
        <f>IF(TEXT(Logs!B6,"0000")="0000","",TIMEVALUE(REPLACE(TEXT(Logs!B6,"0000"),3,0,":")))</f>
        <v/>
      </c>
      <c r="B6" s="44" t="str">
        <f>IF(TEXT(Logs!C6,"0000")="0000","",TIMEVALUE(REPLACE(TEXT(Logs!C6,"0000"),3,0,":")))</f>
        <v/>
      </c>
      <c r="C6" s="33" t="str">
        <f>IF(OR(Logs!A6="",Logs!D6=""),"","From "&amp;TEXT(Logs!B6,"0000")&amp;" to "&amp;TEXT(Logs!C6, "0000")&amp;" - "&amp;Logs!A6&amp; " ("&amp;TEXT(Logs!E6,"0.00")&amp;" Hours)")</f>
        <v/>
      </c>
      <c r="D6" s="68"/>
      <c r="E6" s="68"/>
      <c r="F6" s="4" t="str">
        <f>IF(VALUE(Logs!B6)=0,"",VALUE(Logs!B6))</f>
        <v/>
      </c>
      <c r="G6" s="5" t="str">
        <f>IF(VALUE(Logs!C6)=0,"",VALUE(Logs!C6))</f>
        <v/>
      </c>
    </row>
    <row r="7" spans="1:7" x14ac:dyDescent="0.25">
      <c r="A7" s="8" t="str">
        <f>IF(TEXT(Logs!B7,"0000")="0000","",TIMEVALUE(REPLACE(TEXT(Logs!B7,"0000"),3,0,":")))</f>
        <v/>
      </c>
      <c r="B7" s="44" t="str">
        <f>IF(TEXT(Logs!C7,"0000")="0000","",TIMEVALUE(REPLACE(TEXT(Logs!C7,"0000"),3,0,":")))</f>
        <v/>
      </c>
      <c r="C7" s="33" t="str">
        <f>IF(OR(Logs!A7="",Logs!D7=""),"","From "&amp;TEXT(Logs!B7,"0000")&amp;" to "&amp;TEXT(Logs!C7, "0000")&amp;" - "&amp;Logs!A7&amp; " ("&amp;TEXT(Logs!E7,"0.00")&amp;" Hours)")</f>
        <v/>
      </c>
      <c r="D7" s="68"/>
      <c r="E7" s="68"/>
      <c r="F7" s="4" t="str">
        <f>IF(VALUE(Logs!B7)=0,"",VALUE(Logs!B7))</f>
        <v/>
      </c>
      <c r="G7" s="5" t="str">
        <f>IF(VALUE(Logs!C7)=0,"",VALUE(Logs!C7))</f>
        <v/>
      </c>
    </row>
    <row r="8" spans="1:7" x14ac:dyDescent="0.25">
      <c r="A8" s="8" t="str">
        <f>IF(TEXT(Logs!B8,"0000")="0000","",TIMEVALUE(REPLACE(TEXT(Logs!B8,"0000"),3,0,":")))</f>
        <v/>
      </c>
      <c r="B8" s="44" t="str">
        <f>IF(TEXT(Logs!C8,"0000")="0000","",TIMEVALUE(REPLACE(TEXT(Logs!C8,"0000"),3,0,":")))</f>
        <v/>
      </c>
      <c r="C8" s="33" t="str">
        <f>IF(OR(Logs!A8="",Logs!D8=""),"","From "&amp;TEXT(Logs!B8,"0000")&amp;" to "&amp;TEXT(Logs!C8, "0000")&amp;" - "&amp;Logs!A8&amp; " ("&amp;TEXT(Logs!E8,"0.00")&amp;" Hours)")</f>
        <v/>
      </c>
      <c r="D8" s="68"/>
      <c r="E8" s="68"/>
      <c r="F8" s="4" t="str">
        <f>IF(VALUE(Logs!B8)=0,"",VALUE(Logs!B8))</f>
        <v/>
      </c>
      <c r="G8" s="5" t="str">
        <f>IF(VALUE(Logs!C8)=0,"",VALUE(Logs!C8))</f>
        <v/>
      </c>
    </row>
    <row r="9" spans="1:7" x14ac:dyDescent="0.25">
      <c r="A9" s="8" t="str">
        <f>IF(TEXT(Logs!B9,"0000")="0000","",TIMEVALUE(REPLACE(TEXT(Logs!B9,"0000"),3,0,":")))</f>
        <v/>
      </c>
      <c r="B9" s="44" t="str">
        <f>IF(TEXT(Logs!C9,"0000")="0000","",TIMEVALUE(REPLACE(TEXT(Logs!C9,"0000"),3,0,":")))</f>
        <v/>
      </c>
      <c r="C9" s="33" t="str">
        <f>IF(OR(Logs!A9="",Logs!D9=""),"","From "&amp;TEXT(Logs!B9,"0000")&amp;" to "&amp;TEXT(Logs!C9, "0000")&amp;" - "&amp;Logs!A9&amp; " ("&amp;TEXT(Logs!E9,"0.00")&amp;" Hours)")</f>
        <v/>
      </c>
      <c r="D9" s="68"/>
      <c r="E9" s="68"/>
      <c r="F9" s="4" t="str">
        <f>IF(VALUE(Logs!B9)=0,"",VALUE(Logs!B9))</f>
        <v/>
      </c>
      <c r="G9" s="5" t="str">
        <f>IF(VALUE(Logs!C9)=0,"",VALUE(Logs!C9))</f>
        <v/>
      </c>
    </row>
    <row r="10" spans="1:7" x14ac:dyDescent="0.25">
      <c r="A10" s="8" t="str">
        <f>IF(TEXT(Logs!B10,"0000")="0000","",TIMEVALUE(REPLACE(TEXT(Logs!B10,"0000"),3,0,":")))</f>
        <v/>
      </c>
      <c r="B10" s="44" t="str">
        <f>IF(TEXT(Logs!C10,"0000")="0000","",TIMEVALUE(REPLACE(TEXT(Logs!C10,"0000"),3,0,":")))</f>
        <v/>
      </c>
      <c r="C10" s="33" t="str">
        <f>IF(OR(Logs!A10="",Logs!D10=""),"","From "&amp;TEXT(Logs!B10,"0000")&amp;" to "&amp;TEXT(Logs!C10, "0000")&amp;" - "&amp;Logs!A10&amp; " ("&amp;TEXT(Logs!E10,"0.00")&amp;" Hours)")</f>
        <v/>
      </c>
      <c r="D10" s="68"/>
      <c r="E10" s="68"/>
      <c r="F10" s="4" t="str">
        <f>IF(VALUE(Logs!B10)=0,"",VALUE(Logs!B10))</f>
        <v/>
      </c>
      <c r="G10" s="5" t="str">
        <f>IF(VALUE(Logs!C10)=0,"",VALUE(Logs!C10))</f>
        <v/>
      </c>
    </row>
    <row r="11" spans="1:7" x14ac:dyDescent="0.25">
      <c r="A11" s="8" t="str">
        <f>IF(TEXT(Logs!B11,"0000")="0000","",TIMEVALUE(REPLACE(TEXT(Logs!B11,"0000"),3,0,":")))</f>
        <v/>
      </c>
      <c r="B11" s="44" t="str">
        <f>IF(TEXT(Logs!C11,"0000")="0000","",TIMEVALUE(REPLACE(TEXT(Logs!C11,"0000"),3,0,":")))</f>
        <v/>
      </c>
      <c r="C11" s="33" t="str">
        <f>IF(OR(Logs!A11="",Logs!D11=""),"","From "&amp;TEXT(Logs!B11,"0000")&amp;" to "&amp;TEXT(Logs!C11, "0000")&amp;" - "&amp;Logs!A11&amp; " ("&amp;TEXT(Logs!E11,"0.00")&amp;" Hours)")</f>
        <v/>
      </c>
      <c r="D11" s="68"/>
      <c r="E11" s="68"/>
      <c r="F11" s="4" t="str">
        <f>IF(VALUE(Logs!B11)=0,"",VALUE(Logs!B11))</f>
        <v/>
      </c>
      <c r="G11" s="5" t="str">
        <f>IF(VALUE(Logs!C11)=0,"",VALUE(Logs!C11))</f>
        <v/>
      </c>
    </row>
    <row r="12" spans="1:7" x14ac:dyDescent="0.25">
      <c r="A12" s="8" t="str">
        <f>IF(TEXT(Logs!B12,"0000")="0000","",TIMEVALUE(REPLACE(TEXT(Logs!B12,"0000"),3,0,":")))</f>
        <v/>
      </c>
      <c r="B12" s="44" t="str">
        <f>IF(TEXT(Logs!C12,"0000")="0000","",TIMEVALUE(REPLACE(TEXT(Logs!C12,"0000"),3,0,":")))</f>
        <v/>
      </c>
      <c r="C12" s="33" t="str">
        <f>IF(OR(Logs!A12="",Logs!D12=""),"","From "&amp;TEXT(Logs!B12,"0000")&amp;" to "&amp;TEXT(Logs!C12, "0000")&amp;" - "&amp;Logs!A12&amp; " ("&amp;TEXT(Logs!E12,"0.00")&amp;" Hours)")</f>
        <v/>
      </c>
      <c r="D12" s="68"/>
      <c r="E12" s="68"/>
      <c r="F12" s="4" t="str">
        <f>IF(VALUE(Logs!B12)=0,"",VALUE(Logs!B12))</f>
        <v/>
      </c>
      <c r="G12" s="5" t="str">
        <f>IF(VALUE(Logs!C12)=0,"",VALUE(Logs!C12))</f>
        <v/>
      </c>
    </row>
    <row r="13" spans="1:7" x14ac:dyDescent="0.25">
      <c r="A13" s="8" t="str">
        <f>IF(TEXT(Logs!B13,"0000")="0000","",TIMEVALUE(REPLACE(TEXT(Logs!B13,"0000"),3,0,":")))</f>
        <v/>
      </c>
      <c r="B13" s="44" t="str">
        <f>IF(TEXT(Logs!C13,"0000")="0000","",TIMEVALUE(REPLACE(TEXT(Logs!C13,"0000"),3,0,":")))</f>
        <v/>
      </c>
      <c r="C13" s="33" t="str">
        <f>IF(OR(Logs!A13="",Logs!D13=""),"","From "&amp;TEXT(Logs!B13,"0000")&amp;" to "&amp;TEXT(Logs!C13, "0000")&amp;" - "&amp;Logs!A13&amp; " ("&amp;TEXT(Logs!E13,"0.00")&amp;" Hours)")</f>
        <v/>
      </c>
      <c r="D13" s="68"/>
      <c r="E13" s="68"/>
      <c r="F13" s="4" t="str">
        <f>IF(VALUE(Logs!B13)=0,"",VALUE(Logs!B13))</f>
        <v/>
      </c>
      <c r="G13" s="5" t="str">
        <f>IF(VALUE(Logs!C13)=0,"",VALUE(Logs!C13))</f>
        <v/>
      </c>
    </row>
    <row r="14" spans="1:7" x14ac:dyDescent="0.25">
      <c r="A14" s="8" t="str">
        <f>IF(TEXT(Logs!B14,"0000")="0000","",TIMEVALUE(REPLACE(TEXT(Logs!B14,"0000"),3,0,":")))</f>
        <v/>
      </c>
      <c r="B14" s="44" t="str">
        <f>IF(TEXT(Logs!C14,"0000")="0000","",TIMEVALUE(REPLACE(TEXT(Logs!C14,"0000"),3,0,":")))</f>
        <v/>
      </c>
      <c r="C14" s="33" t="str">
        <f>IF(OR(Logs!A14="",Logs!D14=""),"","From "&amp;TEXT(Logs!B14,"0000")&amp;" to "&amp;TEXT(Logs!C14, "0000")&amp;" - "&amp;Logs!A14&amp; " ("&amp;TEXT(Logs!E14,"0.00")&amp;" Hours)")</f>
        <v/>
      </c>
      <c r="D14" s="68"/>
      <c r="E14" s="68"/>
      <c r="F14" s="4" t="str">
        <f>IF(VALUE(Logs!B14)=0,"",VALUE(Logs!B14))</f>
        <v/>
      </c>
      <c r="G14" s="5" t="str">
        <f>IF(VALUE(Logs!C14)=0,"",VALUE(Logs!C14))</f>
        <v/>
      </c>
    </row>
    <row r="15" spans="1:7" x14ac:dyDescent="0.25">
      <c r="A15" s="8" t="str">
        <f>IF(TEXT(Logs!B15,"0000")="0000","",TIMEVALUE(REPLACE(TEXT(Logs!B15,"0000"),3,0,":")))</f>
        <v/>
      </c>
      <c r="B15" s="44" t="str">
        <f>IF(TEXT(Logs!C15,"0000")="0000","",TIMEVALUE(REPLACE(TEXT(Logs!C15,"0000"),3,0,":")))</f>
        <v/>
      </c>
      <c r="C15" s="33" t="str">
        <f>IF(OR(Logs!A15="",Logs!D15=""),"","From "&amp;TEXT(Logs!B15,"0000")&amp;" to "&amp;TEXT(Logs!C15, "0000")&amp;" - "&amp;Logs!A15&amp; " ("&amp;TEXT(Logs!E15,"0.00")&amp;" Hours)")</f>
        <v/>
      </c>
      <c r="D15" s="68"/>
      <c r="E15" s="68"/>
      <c r="F15" s="4" t="str">
        <f>IF(VALUE(Logs!B15)=0,"",VALUE(Logs!B15))</f>
        <v/>
      </c>
      <c r="G15" s="5" t="str">
        <f>IF(VALUE(Logs!C15)=0,"",VALUE(Logs!C15))</f>
        <v/>
      </c>
    </row>
    <row r="16" spans="1:7" x14ac:dyDescent="0.25">
      <c r="A16" s="8" t="str">
        <f>IF(TEXT(Logs!B16,"0000")="0000","",TIMEVALUE(REPLACE(TEXT(Logs!B16,"0000"),3,0,":")))</f>
        <v/>
      </c>
      <c r="B16" s="44" t="str">
        <f>IF(TEXT(Logs!C16,"0000")="0000","",TIMEVALUE(REPLACE(TEXT(Logs!C16,"0000"),3,0,":")))</f>
        <v/>
      </c>
      <c r="C16" s="33" t="str">
        <f>IF(OR(Logs!A16="",Logs!D16=""),"","From "&amp;TEXT(Logs!B16,"0000")&amp;" to "&amp;TEXT(Logs!C16, "0000")&amp;" - "&amp;Logs!A16&amp; " ("&amp;TEXT(Logs!E16,"0.00")&amp;" Hours)")</f>
        <v/>
      </c>
      <c r="D16" s="68"/>
      <c r="E16" s="68"/>
      <c r="F16" s="4" t="str">
        <f>IF(VALUE(Logs!B16)=0,"",VALUE(Logs!B16))</f>
        <v/>
      </c>
      <c r="G16" s="5" t="str">
        <f>IF(VALUE(Logs!C16)=0,"",VALUE(Logs!C16))</f>
        <v/>
      </c>
    </row>
    <row r="17" spans="1:7" x14ac:dyDescent="0.25">
      <c r="A17" s="8" t="str">
        <f>IF(TEXT(Logs!B17,"0000")="0000","",TIMEVALUE(REPLACE(TEXT(Logs!B17,"0000"),3,0,":")))</f>
        <v/>
      </c>
      <c r="B17" s="44" t="str">
        <f>IF(TEXT(Logs!C17,"0000")="0000","",TIMEVALUE(REPLACE(TEXT(Logs!C17,"0000"),3,0,":")))</f>
        <v/>
      </c>
      <c r="C17" s="33" t="str">
        <f>IF(OR(Logs!A17="",Logs!D17=""),"","From "&amp;TEXT(Logs!B17,"0000")&amp;" to "&amp;TEXT(Logs!C17, "0000")&amp;" - "&amp;Logs!A17&amp; " ("&amp;TEXT(Logs!E17,"0.00")&amp;" Hours)")</f>
        <v/>
      </c>
      <c r="D17" s="68"/>
      <c r="E17" s="68"/>
      <c r="F17" s="4" t="str">
        <f>IF(VALUE(Logs!B17)=0,"",VALUE(Logs!B17))</f>
        <v/>
      </c>
      <c r="G17" s="5" t="str">
        <f>IF(VALUE(Logs!C17)=0,"",VALUE(Logs!C17))</f>
        <v/>
      </c>
    </row>
    <row r="18" spans="1:7" x14ac:dyDescent="0.25">
      <c r="A18" s="8" t="str">
        <f>IF(TEXT(Logs!B18,"0000")="0000","",TIMEVALUE(REPLACE(TEXT(Logs!B18,"0000"),3,0,":")))</f>
        <v/>
      </c>
      <c r="B18" s="44" t="str">
        <f>IF(TEXT(Logs!C18,"0000")="0000","",TIMEVALUE(REPLACE(TEXT(Logs!C18,"0000"),3,0,":")))</f>
        <v/>
      </c>
      <c r="C18" s="33" t="str">
        <f>IF(OR(Logs!A18="",Logs!D18=""),"","From "&amp;TEXT(Logs!B18,"0000")&amp;" to "&amp;TEXT(Logs!C18, "0000")&amp;" - "&amp;Logs!A18&amp; " ("&amp;TEXT(Logs!E18,"0.00")&amp;" Hours)")</f>
        <v/>
      </c>
      <c r="D18" s="68"/>
      <c r="E18" s="68"/>
      <c r="F18" s="4" t="str">
        <f>IF(VALUE(Logs!B18)=0,"",VALUE(Logs!B18))</f>
        <v/>
      </c>
      <c r="G18" s="5" t="str">
        <f>IF(VALUE(Logs!C18)=0,"",VALUE(Logs!C18))</f>
        <v/>
      </c>
    </row>
    <row r="19" spans="1:7" x14ac:dyDescent="0.25">
      <c r="A19" s="8" t="str">
        <f>IF(TEXT(Logs!B19,"0000")="0000","",TIMEVALUE(REPLACE(TEXT(Logs!B19,"0000"),3,0,":")))</f>
        <v/>
      </c>
      <c r="B19" s="44" t="str">
        <f>IF(TEXT(Logs!C19,"0000")="0000","",TIMEVALUE(REPLACE(TEXT(Logs!C19,"0000"),3,0,":")))</f>
        <v/>
      </c>
      <c r="C19" s="33" t="str">
        <f>IF(OR(Logs!A19="",Logs!D19=""),"","From "&amp;TEXT(Logs!B19,"0000")&amp;" to "&amp;TEXT(Logs!C19, "0000")&amp;" - "&amp;Logs!A19&amp; " ("&amp;TEXT(Logs!E19,"0.00")&amp;" Hours)")</f>
        <v/>
      </c>
      <c r="D19" s="68"/>
      <c r="E19" s="68"/>
      <c r="F19" s="4" t="str">
        <f>IF(VALUE(Logs!B19)=0,"",VALUE(Logs!B19))</f>
        <v/>
      </c>
      <c r="G19" s="5" t="str">
        <f>IF(VALUE(Logs!C19)=0,"",VALUE(Logs!C19))</f>
        <v/>
      </c>
    </row>
    <row r="20" spans="1:7" x14ac:dyDescent="0.25">
      <c r="A20" s="8" t="str">
        <f>IF(TEXT(Logs!B20,"0000")="0000","",TIMEVALUE(REPLACE(TEXT(Logs!B20,"0000"),3,0,":")))</f>
        <v/>
      </c>
      <c r="B20" s="44" t="str">
        <f>IF(TEXT(Logs!C20,"0000")="0000","",TIMEVALUE(REPLACE(TEXT(Logs!C20,"0000"),3,0,":")))</f>
        <v/>
      </c>
      <c r="C20" s="33" t="str">
        <f>IF(OR(Logs!A20="",Logs!D20=""),"","From "&amp;TEXT(Logs!B20,"0000")&amp;" to "&amp;TEXT(Logs!C20, "0000")&amp;" - "&amp;Logs!A20&amp; " ("&amp;TEXT(Logs!E20,"0.00")&amp;" Hours)")</f>
        <v/>
      </c>
      <c r="D20" s="68"/>
      <c r="E20" s="68"/>
      <c r="F20" s="4" t="str">
        <f>IF(VALUE(Logs!B20)=0,"",VALUE(Logs!B20))</f>
        <v/>
      </c>
      <c r="G20" s="5" t="str">
        <f>IF(VALUE(Logs!C20)=0,"",VALUE(Logs!C20))</f>
        <v/>
      </c>
    </row>
    <row r="21" spans="1:7" x14ac:dyDescent="0.25">
      <c r="A21" s="8" t="str">
        <f>IF(TEXT(Logs!B21,"0000")="0000","",TIMEVALUE(REPLACE(TEXT(Logs!B21,"0000"),3,0,":")))</f>
        <v/>
      </c>
      <c r="B21" s="44" t="str">
        <f>IF(TEXT(Logs!C21,"0000")="0000","",TIMEVALUE(REPLACE(TEXT(Logs!C21,"0000"),3,0,":")))</f>
        <v/>
      </c>
      <c r="C21" s="33" t="str">
        <f>IF(OR(Logs!A21="",Logs!D21=""),"","From "&amp;TEXT(Logs!B21,"0000")&amp;" to "&amp;TEXT(Logs!C21, "0000")&amp;" - "&amp;Logs!A21&amp; " ("&amp;TEXT(Logs!E21,"0.00")&amp;" Hours)")</f>
        <v/>
      </c>
      <c r="D21" s="68"/>
      <c r="E21" s="68"/>
      <c r="F21" s="4" t="str">
        <f>IF(VALUE(Logs!B21)=0,"",VALUE(Logs!B21))</f>
        <v/>
      </c>
      <c r="G21" s="5" t="str">
        <f>IF(VALUE(Logs!C21)=0,"",VALUE(Logs!C21))</f>
        <v/>
      </c>
    </row>
    <row r="22" spans="1:7" x14ac:dyDescent="0.25">
      <c r="A22" s="8" t="str">
        <f>IF(TEXT(Logs!B22,"0000")="0000","",TIMEVALUE(REPLACE(TEXT(Logs!B22,"0000"),3,0,":")))</f>
        <v/>
      </c>
      <c r="B22" s="44" t="str">
        <f>IF(TEXT(Logs!C22,"0000")="0000","",TIMEVALUE(REPLACE(TEXT(Logs!C22,"0000"),3,0,":")))</f>
        <v/>
      </c>
      <c r="C22" s="33" t="str">
        <f>IF(OR(Logs!A22="",Logs!D22=""),"","From "&amp;TEXT(Logs!B22,"0000")&amp;" to "&amp;TEXT(Logs!C22, "0000")&amp;" - "&amp;Logs!A22&amp; " ("&amp;TEXT(Logs!E22,"0.00")&amp;" Hours)")</f>
        <v/>
      </c>
      <c r="D22" s="68"/>
      <c r="E22" s="68"/>
      <c r="F22" s="4" t="str">
        <f>IF(VALUE(Logs!B22)=0,"",VALUE(Logs!B22))</f>
        <v/>
      </c>
      <c r="G22" s="5" t="str">
        <f>IF(VALUE(Logs!C22)=0,"",VALUE(Logs!C22))</f>
        <v/>
      </c>
    </row>
    <row r="23" spans="1:7" x14ac:dyDescent="0.25">
      <c r="A23" s="8" t="str">
        <f>IF(TEXT(Logs!B23,"0000")="0000","",TIMEVALUE(REPLACE(TEXT(Logs!B23,"0000"),3,0,":")))</f>
        <v/>
      </c>
      <c r="B23" s="44" t="str">
        <f>IF(TEXT(Logs!C23,"0000")="0000","",TIMEVALUE(REPLACE(TEXT(Logs!C23,"0000"),3,0,":")))</f>
        <v/>
      </c>
      <c r="C23" s="33" t="str">
        <f>IF(OR(Logs!A23="",Logs!D23=""),"","From "&amp;TEXT(Logs!B23,"0000")&amp;" to "&amp;TEXT(Logs!C23, "0000")&amp;" - "&amp;Logs!A23&amp; " ("&amp;TEXT(Logs!E23,"0.00")&amp;" Hours)")</f>
        <v/>
      </c>
      <c r="D23" s="68"/>
      <c r="E23" s="68"/>
      <c r="F23" s="4" t="str">
        <f>IF(VALUE(Logs!B23)=0,"",VALUE(Logs!B23))</f>
        <v/>
      </c>
      <c r="G23" s="5" t="str">
        <f>IF(VALUE(Logs!C23)=0,"",VALUE(Logs!C23))</f>
        <v/>
      </c>
    </row>
    <row r="24" spans="1:7" x14ac:dyDescent="0.25">
      <c r="A24" s="8" t="str">
        <f>IF(TEXT(Logs!B24,"0000")="0000","",TIMEVALUE(REPLACE(TEXT(Logs!B24,"0000"),3,0,":")))</f>
        <v/>
      </c>
      <c r="B24" s="44" t="str">
        <f>IF(TEXT(Logs!C24,"0000")="0000","",TIMEVALUE(REPLACE(TEXT(Logs!C24,"0000"),3,0,":")))</f>
        <v/>
      </c>
      <c r="C24" s="33" t="str">
        <f>IF(OR(Logs!A24="",Logs!D24=""),"","From "&amp;TEXT(Logs!B24,"0000")&amp;" to "&amp;TEXT(Logs!C24, "0000")&amp;" - "&amp;Logs!A24&amp; " ("&amp;TEXT(Logs!E24,"0.00")&amp;" Hours)")</f>
        <v/>
      </c>
      <c r="D24" s="68"/>
      <c r="E24" s="68"/>
      <c r="F24" s="4" t="str">
        <f>IF(VALUE(Logs!B24)=0,"",VALUE(Logs!B24))</f>
        <v/>
      </c>
      <c r="G24" s="5" t="str">
        <f>IF(VALUE(Logs!C24)=0,"",VALUE(Logs!C24))</f>
        <v/>
      </c>
    </row>
    <row r="25" spans="1:7" x14ac:dyDescent="0.25">
      <c r="A25" s="8" t="str">
        <f>IF(TEXT(Logs!B25,"0000")="0000","",TIMEVALUE(REPLACE(TEXT(Logs!B25,"0000"),3,0,":")))</f>
        <v/>
      </c>
      <c r="B25" s="44" t="str">
        <f>IF(TEXT(Logs!C25,"0000")="0000","",TIMEVALUE(REPLACE(TEXT(Logs!C25,"0000"),3,0,":")))</f>
        <v/>
      </c>
      <c r="C25" s="33" t="str">
        <f>IF(OR(Logs!A25="",Logs!D25=""),"","From "&amp;TEXT(Logs!B25,"0000")&amp;" to "&amp;TEXT(Logs!C25, "0000")&amp;" - "&amp;Logs!A25&amp; " ("&amp;TEXT(Logs!E25,"0.00")&amp;" Hours)")</f>
        <v/>
      </c>
      <c r="D25" s="68"/>
      <c r="E25" s="68"/>
      <c r="F25" s="4" t="str">
        <f>IF(VALUE(Logs!B25)=0,"",VALUE(Logs!B25))</f>
        <v/>
      </c>
      <c r="G25" s="5" t="str">
        <f>IF(VALUE(Logs!C25)=0,"",VALUE(Logs!C25))</f>
        <v/>
      </c>
    </row>
    <row r="26" spans="1:7" x14ac:dyDescent="0.25">
      <c r="A26" s="8" t="str">
        <f>IF(TEXT(Logs!B26,"0000")="0000","",TIMEVALUE(REPLACE(TEXT(Logs!B26,"0000"),3,0,":")))</f>
        <v/>
      </c>
      <c r="B26" s="44" t="str">
        <f>IF(TEXT(Logs!C26,"0000")="0000","",TIMEVALUE(REPLACE(TEXT(Logs!C26,"0000"),3,0,":")))</f>
        <v/>
      </c>
      <c r="C26" s="33" t="str">
        <f>IF(OR(Logs!A26="",Logs!D26=""),"","From "&amp;TEXT(Logs!B26,"0000")&amp;" to "&amp;TEXT(Logs!C26, "0000")&amp;" - "&amp;Logs!A26&amp; " ("&amp;TEXT(Logs!E26,"0.00")&amp;" Hours)")</f>
        <v/>
      </c>
      <c r="D26" s="68"/>
      <c r="E26" s="68"/>
      <c r="F26" s="4" t="str">
        <f>IF(VALUE(Logs!B26)=0,"",VALUE(Logs!B26))</f>
        <v/>
      </c>
      <c r="G26" s="5" t="str">
        <f>IF(VALUE(Logs!C26)=0,"",VALUE(Logs!C26))</f>
        <v/>
      </c>
    </row>
    <row r="27" spans="1:7" x14ac:dyDescent="0.25">
      <c r="A27" s="8" t="str">
        <f>IF(TEXT(Logs!B27,"0000")="0000","",TIMEVALUE(REPLACE(TEXT(Logs!B27,"0000"),3,0,":")))</f>
        <v/>
      </c>
      <c r="B27" s="44" t="str">
        <f>IF(TEXT(Logs!C27,"0000")="0000","",TIMEVALUE(REPLACE(TEXT(Logs!C27,"0000"),3,0,":")))</f>
        <v/>
      </c>
      <c r="C27" s="33" t="str">
        <f>IF(OR(Logs!A27="",Logs!D27=""),"","From "&amp;TEXT(Logs!B27,"0000")&amp;" to "&amp;TEXT(Logs!C27, "0000")&amp;" - "&amp;Logs!A27&amp; " ("&amp;TEXT(Logs!E27,"0.00")&amp;" Hours)")</f>
        <v/>
      </c>
      <c r="D27" s="68"/>
      <c r="E27" s="68"/>
      <c r="F27" s="4" t="str">
        <f>IF(VALUE(Logs!B27)=0,"",VALUE(Logs!B27))</f>
        <v/>
      </c>
      <c r="G27" s="5" t="str">
        <f>IF(VALUE(Logs!C27)=0,"",VALUE(Logs!C27))</f>
        <v/>
      </c>
    </row>
    <row r="28" spans="1:7" x14ac:dyDescent="0.25">
      <c r="A28" s="8" t="str">
        <f>IF(TEXT(Logs!B28,"0000")="0000","",TIMEVALUE(REPLACE(TEXT(Logs!B28,"0000"),3,0,":")))</f>
        <v/>
      </c>
      <c r="B28" s="44" t="str">
        <f>IF(TEXT(Logs!C28,"0000")="0000","",TIMEVALUE(REPLACE(TEXT(Logs!C28,"0000"),3,0,":")))</f>
        <v/>
      </c>
      <c r="C28" s="33" t="str">
        <f>IF(OR(Logs!A28="",Logs!D28=""),"","From "&amp;TEXT(Logs!B28,"0000")&amp;" to "&amp;TEXT(Logs!C28, "0000")&amp;" - "&amp;Logs!A28&amp; " ("&amp;TEXT(Logs!E28,"0.00")&amp;" Hours)")</f>
        <v/>
      </c>
      <c r="D28" s="68"/>
      <c r="E28" s="68"/>
      <c r="F28" s="4" t="str">
        <f>IF(VALUE(Logs!B28)=0,"",VALUE(Logs!B28))</f>
        <v/>
      </c>
      <c r="G28" s="5" t="str">
        <f>IF(VALUE(Logs!C28)=0,"",VALUE(Logs!C28))</f>
        <v/>
      </c>
    </row>
    <row r="29" spans="1:7" x14ac:dyDescent="0.25">
      <c r="A29" s="8" t="str">
        <f>IF(TEXT(Logs!B29,"0000")="0000","",TIMEVALUE(REPLACE(TEXT(Logs!B29,"0000"),3,0,":")))</f>
        <v/>
      </c>
      <c r="B29" s="44" t="str">
        <f>IF(TEXT(Logs!C29,"0000")="0000","",TIMEVALUE(REPLACE(TEXT(Logs!C29,"0000"),3,0,":")))</f>
        <v/>
      </c>
      <c r="C29" s="33" t="str">
        <f>IF(OR(Logs!A29="",Logs!D29=""),"","From "&amp;TEXT(Logs!B29,"0000")&amp;" to "&amp;TEXT(Logs!C29, "0000")&amp;" - "&amp;Logs!A29&amp; " ("&amp;TEXT(Logs!E29,"0.00")&amp;" Hours)")</f>
        <v/>
      </c>
      <c r="D29" s="68"/>
      <c r="E29" s="68"/>
      <c r="F29" s="4" t="str">
        <f>IF(VALUE(Logs!B29)=0,"",VALUE(Logs!B29))</f>
        <v/>
      </c>
      <c r="G29" s="5" t="str">
        <f>IF(VALUE(Logs!C29)=0,"",VALUE(Logs!C29))</f>
        <v/>
      </c>
    </row>
    <row r="30" spans="1:7" x14ac:dyDescent="0.25">
      <c r="A30" s="8" t="str">
        <f>IF(TEXT(Logs!B30,"0000")="0000","",TIMEVALUE(REPLACE(TEXT(Logs!B30,"0000"),3,0,":")))</f>
        <v/>
      </c>
      <c r="B30" s="44" t="str">
        <f>IF(TEXT(Logs!C30,"0000")="0000","",TIMEVALUE(REPLACE(TEXT(Logs!C30,"0000"),3,0,":")))</f>
        <v/>
      </c>
      <c r="C30" s="33" t="str">
        <f>IF(OR(Logs!A30="",Logs!D30=""),"","From "&amp;TEXT(Logs!B30,"0000")&amp;" to "&amp;TEXT(Logs!C30, "0000")&amp;" - "&amp;Logs!A30&amp; " ("&amp;TEXT(Logs!E30,"0.00")&amp;" Hours)")</f>
        <v/>
      </c>
      <c r="D30" s="68"/>
      <c r="E30" s="68"/>
      <c r="F30" s="4" t="str">
        <f>IF(VALUE(Logs!B30)=0,"",VALUE(Logs!B30))</f>
        <v/>
      </c>
      <c r="G30" s="5" t="str">
        <f>IF(VALUE(Logs!C30)=0,"",VALUE(Logs!C30))</f>
        <v/>
      </c>
    </row>
    <row r="31" spans="1:7" x14ac:dyDescent="0.25">
      <c r="A31" s="8" t="str">
        <f>IF(TEXT(Logs!B31,"0000")="0000","",TIMEVALUE(REPLACE(TEXT(Logs!B31,"0000"),3,0,":")))</f>
        <v/>
      </c>
      <c r="B31" s="44" t="str">
        <f>IF(TEXT(Logs!C31,"0000")="0000","",TIMEVALUE(REPLACE(TEXT(Logs!C31,"0000"),3,0,":")))</f>
        <v/>
      </c>
      <c r="C31" s="33" t="str">
        <f>IF(OR(Logs!A31="",Logs!D31=""),"","From "&amp;TEXT(Logs!B31,"0000")&amp;" to "&amp;TEXT(Logs!C31, "0000")&amp;" - "&amp;Logs!A31&amp; " ("&amp;TEXT(Logs!E31,"0.00")&amp;" Hours)")</f>
        <v/>
      </c>
      <c r="D31" s="68"/>
      <c r="E31" s="68"/>
      <c r="F31" s="4" t="str">
        <f>IF(VALUE(Logs!B31)=0,"",VALUE(Logs!B31))</f>
        <v/>
      </c>
      <c r="G31" s="5" t="str">
        <f>IF(VALUE(Logs!C31)=0,"",VALUE(Logs!C31))</f>
        <v/>
      </c>
    </row>
    <row r="32" spans="1:7" x14ac:dyDescent="0.25">
      <c r="A32" s="8" t="str">
        <f>IF(TEXT(Logs!B32,"0000")="0000","",TIMEVALUE(REPLACE(TEXT(Logs!B32,"0000"),3,0,":")))</f>
        <v/>
      </c>
      <c r="B32" s="44" t="str">
        <f>IF(TEXT(Logs!C32,"0000")="0000","",TIMEVALUE(REPLACE(TEXT(Logs!C32,"0000"),3,0,":")))</f>
        <v/>
      </c>
      <c r="C32" s="33" t="str">
        <f>IF(OR(Logs!A32="",Logs!D32=""),"","From "&amp;TEXT(Logs!B32,"0000")&amp;" to "&amp;TEXT(Logs!C32, "0000")&amp;" - "&amp;Logs!A32&amp; " ("&amp;TEXT(Logs!E32,"0.00")&amp;" Hours)")</f>
        <v/>
      </c>
      <c r="D32" s="68"/>
      <c r="E32" s="68"/>
      <c r="F32" s="4" t="str">
        <f>IF(VALUE(Logs!B32)=0,"",VALUE(Logs!B32))</f>
        <v/>
      </c>
      <c r="G32" s="5" t="str">
        <f>IF(VALUE(Logs!C32)=0,"",VALUE(Logs!C32))</f>
        <v/>
      </c>
    </row>
    <row r="33" spans="1:7" x14ac:dyDescent="0.25">
      <c r="A33" s="8" t="str">
        <f>IF(TEXT(Logs!B33,"0000")="0000","",TIMEVALUE(REPLACE(TEXT(Logs!B33,"0000"),3,0,":")))</f>
        <v/>
      </c>
      <c r="B33" s="44" t="str">
        <f>IF(TEXT(Logs!C33,"0000")="0000","",TIMEVALUE(REPLACE(TEXT(Logs!C33,"0000"),3,0,":")))</f>
        <v/>
      </c>
      <c r="C33" s="33" t="str">
        <f>IF(OR(Logs!A33="",Logs!D33=""),"","From "&amp;TEXT(Logs!B33,"0000")&amp;" to "&amp;TEXT(Logs!C33, "0000")&amp;" - "&amp;Logs!A33&amp; " ("&amp;TEXT(Logs!E33,"0.00")&amp;" Hours)")</f>
        <v/>
      </c>
      <c r="D33" s="68"/>
      <c r="E33" s="68"/>
      <c r="F33" s="4" t="str">
        <f>IF(VALUE(Logs!B33)=0,"",VALUE(Logs!B33))</f>
        <v/>
      </c>
      <c r="G33" s="5" t="str">
        <f>IF(VALUE(Logs!C33)=0,"",VALUE(Logs!C33))</f>
        <v/>
      </c>
    </row>
    <row r="34" spans="1:7" x14ac:dyDescent="0.25">
      <c r="A34" s="8" t="str">
        <f>IF(TEXT(Logs!B34,"0000")="0000","",TIMEVALUE(REPLACE(TEXT(Logs!B34,"0000"),3,0,":")))</f>
        <v/>
      </c>
      <c r="B34" s="44" t="str">
        <f>IF(TEXT(Logs!C34,"0000")="0000","",TIMEVALUE(REPLACE(TEXT(Logs!C34,"0000"),3,0,":")))</f>
        <v/>
      </c>
      <c r="C34" s="33" t="str">
        <f>IF(OR(Logs!A34="",Logs!D34=""),"","From "&amp;TEXT(Logs!B34,"0000")&amp;" to "&amp;TEXT(Logs!C34, "0000")&amp;" - "&amp;Logs!A34&amp; " ("&amp;TEXT(Logs!E34,"0.00")&amp;" Hours)")</f>
        <v/>
      </c>
      <c r="D34" s="68"/>
      <c r="E34" s="68"/>
      <c r="F34" s="4" t="str">
        <f>IF(VALUE(Logs!B34)=0,"",VALUE(Logs!B34))</f>
        <v/>
      </c>
      <c r="G34" s="5" t="str">
        <f>IF(VALUE(Logs!C34)=0,"",VALUE(Logs!C34))</f>
        <v/>
      </c>
    </row>
    <row r="35" spans="1:7" x14ac:dyDescent="0.25">
      <c r="A35" s="8" t="str">
        <f>IF(TEXT(Logs!B35,"0000")="0000","",TIMEVALUE(REPLACE(TEXT(Logs!B35,"0000"),3,0,":")))</f>
        <v/>
      </c>
      <c r="B35" s="44" t="str">
        <f>IF(TEXT(Logs!C35,"0000")="0000","",TIMEVALUE(REPLACE(TEXT(Logs!C35,"0000"),3,0,":")))</f>
        <v/>
      </c>
      <c r="C35" s="33" t="str">
        <f>IF(OR(Logs!A35="",Logs!D35=""),"","From "&amp;TEXT(Logs!B35,"0000")&amp;" to "&amp;TEXT(Logs!C35, "0000")&amp;" - "&amp;Logs!A35&amp; " ("&amp;TEXT(Logs!E35,"0.00")&amp;" Hours)")</f>
        <v/>
      </c>
      <c r="D35" s="68"/>
      <c r="E35" s="68"/>
      <c r="F35" s="4" t="str">
        <f>IF(VALUE(Logs!B35)=0,"",VALUE(Logs!B35))</f>
        <v/>
      </c>
      <c r="G35" s="5" t="str">
        <f>IF(VALUE(Logs!C35)=0,"",VALUE(Logs!C35))</f>
        <v/>
      </c>
    </row>
    <row r="36" spans="1:7" x14ac:dyDescent="0.25">
      <c r="A36" s="8" t="str">
        <f>IF(TEXT(Logs!B36,"0000")="0000","",TIMEVALUE(REPLACE(TEXT(Logs!B36,"0000"),3,0,":")))</f>
        <v/>
      </c>
      <c r="B36" s="44" t="str">
        <f>IF(TEXT(Logs!C36,"0000")="0000","",TIMEVALUE(REPLACE(TEXT(Logs!C36,"0000"),3,0,":")))</f>
        <v/>
      </c>
      <c r="C36" s="33" t="str">
        <f>IF(OR(Logs!A36="",Logs!D36=""),"","From "&amp;TEXT(Logs!B36,"0000")&amp;" to "&amp;TEXT(Logs!C36, "0000")&amp;" - "&amp;Logs!A36&amp; " ("&amp;TEXT(Logs!E36,"0.00")&amp;" Hours)")</f>
        <v/>
      </c>
      <c r="D36" s="68"/>
      <c r="E36" s="68"/>
      <c r="F36" s="4" t="str">
        <f>IF(VALUE(Logs!B36)=0,"",VALUE(Logs!B36))</f>
        <v/>
      </c>
      <c r="G36" s="5" t="str">
        <f>IF(VALUE(Logs!C36)=0,"",VALUE(Logs!C36))</f>
        <v/>
      </c>
    </row>
    <row r="37" spans="1:7" x14ac:dyDescent="0.25">
      <c r="A37" s="8" t="str">
        <f>IF(TEXT(Logs!B37,"0000")="0000","",TIMEVALUE(REPLACE(TEXT(Logs!B37,"0000"),3,0,":")))</f>
        <v/>
      </c>
      <c r="B37" s="44" t="str">
        <f>IF(TEXT(Logs!C37,"0000")="0000","",TIMEVALUE(REPLACE(TEXT(Logs!C37,"0000"),3,0,":")))</f>
        <v/>
      </c>
      <c r="C37" s="33" t="str">
        <f>IF(OR(Logs!A37="",Logs!D37=""),"","From "&amp;TEXT(Logs!B37,"0000")&amp;" to "&amp;TEXT(Logs!C37, "0000")&amp;" - "&amp;Logs!A37&amp; " ("&amp;TEXT(Logs!E37,"0.00")&amp;" Hours)")</f>
        <v/>
      </c>
      <c r="D37" s="68"/>
      <c r="E37" s="68"/>
      <c r="F37" s="4" t="str">
        <f>IF(VALUE(Logs!B37)=0,"",VALUE(Logs!B37))</f>
        <v/>
      </c>
      <c r="G37" s="5" t="str">
        <f>IF(VALUE(Logs!C37)=0,"",VALUE(Logs!C37))</f>
        <v/>
      </c>
    </row>
    <row r="38" spans="1:7" x14ac:dyDescent="0.25">
      <c r="A38" s="8" t="str">
        <f>IF(TEXT(Logs!B38,"0000")="0000","",TIMEVALUE(REPLACE(TEXT(Logs!B38,"0000"),3,0,":")))</f>
        <v/>
      </c>
      <c r="B38" s="44" t="str">
        <f>IF(TEXT(Logs!C38,"0000")="0000","",TIMEVALUE(REPLACE(TEXT(Logs!C38,"0000"),3,0,":")))</f>
        <v/>
      </c>
      <c r="C38" s="33" t="str">
        <f>IF(OR(Logs!A38="",Logs!D38=""),"","From "&amp;TEXT(Logs!B38,"0000")&amp;" to "&amp;TEXT(Logs!C38, "0000")&amp;" - "&amp;Logs!A38&amp; " ("&amp;TEXT(Logs!E38,"0.00")&amp;" Hours)")</f>
        <v/>
      </c>
      <c r="D38" s="68"/>
      <c r="E38" s="68"/>
      <c r="F38" s="4" t="str">
        <f>IF(VALUE(Logs!B38)=0,"",VALUE(Logs!B38))</f>
        <v/>
      </c>
      <c r="G38" s="5" t="str">
        <f>IF(VALUE(Logs!C38)=0,"",VALUE(Logs!C38))</f>
        <v/>
      </c>
    </row>
    <row r="39" spans="1:7" x14ac:dyDescent="0.25">
      <c r="A39" s="8" t="str">
        <f>IF(TEXT(Logs!B39,"0000")="0000","",TIMEVALUE(REPLACE(TEXT(Logs!B39,"0000"),3,0,":")))</f>
        <v/>
      </c>
      <c r="B39" s="44" t="str">
        <f>IF(TEXT(Logs!C39,"0000")="0000","",TIMEVALUE(REPLACE(TEXT(Logs!C39,"0000"),3,0,":")))</f>
        <v/>
      </c>
      <c r="C39" s="33" t="str">
        <f>IF(OR(Logs!A39="",Logs!D39=""),"","From "&amp;TEXT(Logs!B39,"0000")&amp;" to "&amp;TEXT(Logs!C39, "0000")&amp;" - "&amp;Logs!A39&amp; " ("&amp;TEXT(Logs!E39,"0.00")&amp;" Hours)")</f>
        <v/>
      </c>
      <c r="D39" s="68"/>
      <c r="E39" s="68"/>
      <c r="F39" s="4" t="str">
        <f>IF(VALUE(Logs!B39)=0,"",VALUE(Logs!B39))</f>
        <v/>
      </c>
      <c r="G39" s="5" t="str">
        <f>IF(VALUE(Logs!C39)=0,"",VALUE(Logs!C39))</f>
        <v/>
      </c>
    </row>
    <row r="40" spans="1:7" x14ac:dyDescent="0.25">
      <c r="A40" s="8" t="str">
        <f>IF(TEXT(Logs!B40,"0000")="0000","",TIMEVALUE(REPLACE(TEXT(Logs!B40,"0000"),3,0,":")))</f>
        <v/>
      </c>
      <c r="B40" s="44" t="str">
        <f>IF(TEXT(Logs!C40,"0000")="0000","",TIMEVALUE(REPLACE(TEXT(Logs!C40,"0000"),3,0,":")))</f>
        <v/>
      </c>
      <c r="C40" s="33" t="str">
        <f>IF(OR(Logs!A40="",Logs!D40=""),"","From "&amp;TEXT(Logs!B40,"0000")&amp;" to "&amp;TEXT(Logs!C40, "0000")&amp;" - "&amp;Logs!A40&amp; " ("&amp;TEXT(Logs!E40,"0.00")&amp;" Hours)")</f>
        <v/>
      </c>
      <c r="D40" s="68"/>
      <c r="E40" s="68"/>
      <c r="F40" s="4" t="str">
        <f>IF(VALUE(Logs!B40)=0,"",VALUE(Logs!B40))</f>
        <v/>
      </c>
      <c r="G40" s="5" t="str">
        <f>IF(VALUE(Logs!C40)=0,"",VALUE(Logs!C40))</f>
        <v/>
      </c>
    </row>
    <row r="41" spans="1:7" x14ac:dyDescent="0.25">
      <c r="A41" s="8" t="str">
        <f>IF(TEXT(Logs!B41,"0000")="0000","",TIMEVALUE(REPLACE(TEXT(Logs!B41,"0000"),3,0,":")))</f>
        <v/>
      </c>
      <c r="B41" s="44" t="str">
        <f>IF(TEXT(Logs!C41,"0000")="0000","",TIMEVALUE(REPLACE(TEXT(Logs!C41,"0000"),3,0,":")))</f>
        <v/>
      </c>
      <c r="C41" s="33" t="str">
        <f>IF(OR(Logs!A41="",Logs!D41=""),"","From "&amp;TEXT(Logs!B41,"0000")&amp;" to "&amp;TEXT(Logs!C41, "0000")&amp;" - "&amp;Logs!A41&amp; " ("&amp;TEXT(Logs!E41,"0.00")&amp;" Hours)")</f>
        <v/>
      </c>
      <c r="D41" s="68"/>
      <c r="E41" s="68"/>
      <c r="F41" s="4" t="str">
        <f>IF(VALUE(Logs!B41)=0,"",VALUE(Logs!B41))</f>
        <v/>
      </c>
      <c r="G41" s="5" t="str">
        <f>IF(VALUE(Logs!C41)=0,"",VALUE(Logs!C41))</f>
        <v/>
      </c>
    </row>
    <row r="42" spans="1:7" x14ac:dyDescent="0.25">
      <c r="A42" s="8" t="str">
        <f>IF(TEXT(Logs!B42,"0000")="0000","",TIMEVALUE(REPLACE(TEXT(Logs!B42,"0000"),3,0,":")))</f>
        <v/>
      </c>
      <c r="B42" s="44" t="str">
        <f>IF(TEXT(Logs!C42,"0000")="0000","",TIMEVALUE(REPLACE(TEXT(Logs!C42,"0000"),3,0,":")))</f>
        <v/>
      </c>
      <c r="C42" s="33" t="str">
        <f>IF(OR(Logs!A42="",Logs!D42=""),"","From "&amp;TEXT(Logs!B42,"0000")&amp;" to "&amp;TEXT(Logs!C42, "0000")&amp;" - "&amp;Logs!A42&amp; " ("&amp;TEXT(Logs!E42,"0.00")&amp;" Hours)")</f>
        <v/>
      </c>
      <c r="D42" s="68"/>
      <c r="E42" s="68"/>
      <c r="F42" s="4" t="str">
        <f>IF(VALUE(Logs!B42)=0,"",VALUE(Logs!B42))</f>
        <v/>
      </c>
      <c r="G42" s="5" t="str">
        <f>IF(VALUE(Logs!C42)=0,"",VALUE(Logs!C42))</f>
        <v/>
      </c>
    </row>
    <row r="43" spans="1:7" x14ac:dyDescent="0.25">
      <c r="A43" s="8" t="str">
        <f>IF(TEXT(Logs!B43,"0000")="0000","",TIMEVALUE(REPLACE(TEXT(Logs!B43,"0000"),3,0,":")))</f>
        <v/>
      </c>
      <c r="B43" s="44" t="str">
        <f>IF(TEXT(Logs!C43,"0000")="0000","",TIMEVALUE(REPLACE(TEXT(Logs!C43,"0000"),3,0,":")))</f>
        <v/>
      </c>
      <c r="C43" s="33" t="str">
        <f>IF(OR(Logs!A43="",Logs!D43=""),"","From "&amp;TEXT(Logs!B43,"0000")&amp;" to "&amp;TEXT(Logs!C43, "0000")&amp;" - "&amp;Logs!A43&amp; " ("&amp;TEXT(Logs!E43,"0.00")&amp;" Hours)")</f>
        <v/>
      </c>
      <c r="D43" s="68"/>
      <c r="E43" s="68"/>
      <c r="F43" s="4" t="str">
        <f>IF(VALUE(Logs!B43)=0,"",VALUE(Logs!B43))</f>
        <v/>
      </c>
      <c r="G43" s="5" t="str">
        <f>IF(VALUE(Logs!C43)=0,"",VALUE(Logs!C43))</f>
        <v/>
      </c>
    </row>
    <row r="44" spans="1:7" x14ac:dyDescent="0.25">
      <c r="A44" s="8" t="str">
        <f>IF(TEXT(Logs!B44,"0000")="0000","",TIMEVALUE(REPLACE(TEXT(Logs!B44,"0000"),3,0,":")))</f>
        <v/>
      </c>
      <c r="B44" s="44" t="str">
        <f>IF(TEXT(Logs!C44,"0000")="0000","",TIMEVALUE(REPLACE(TEXT(Logs!C44,"0000"),3,0,":")))</f>
        <v/>
      </c>
      <c r="C44" s="33" t="str">
        <f>IF(OR(Logs!A44="",Logs!D44=""),"","From "&amp;TEXT(Logs!B44,"0000")&amp;" to "&amp;TEXT(Logs!C44, "0000")&amp;" - "&amp;Logs!A44&amp; " ("&amp;TEXT(Logs!E44,"0.00")&amp;" Hours)")</f>
        <v/>
      </c>
      <c r="D44" s="68"/>
      <c r="E44" s="68"/>
      <c r="F44" s="4" t="str">
        <f>IF(VALUE(Logs!B44)=0,"",VALUE(Logs!B44))</f>
        <v/>
      </c>
      <c r="G44" s="5" t="str">
        <f>IF(VALUE(Logs!C44)=0,"",VALUE(Logs!C44))</f>
        <v/>
      </c>
    </row>
    <row r="45" spans="1:7" x14ac:dyDescent="0.25">
      <c r="A45" s="8" t="str">
        <f>IF(TEXT(Logs!B45,"0000")="0000","",TIMEVALUE(REPLACE(TEXT(Logs!B45,"0000"),3,0,":")))</f>
        <v/>
      </c>
      <c r="B45" s="44" t="str">
        <f>IF(TEXT(Logs!C45,"0000")="0000","",TIMEVALUE(REPLACE(TEXT(Logs!C45,"0000"),3,0,":")))</f>
        <v/>
      </c>
      <c r="C45" s="33" t="str">
        <f>IF(OR(Logs!A45="",Logs!D45=""),"","From "&amp;TEXT(Logs!B45,"0000")&amp;" to "&amp;TEXT(Logs!C45, "0000")&amp;" - "&amp;Logs!A45&amp; " ("&amp;TEXT(Logs!E45,"0.00")&amp;" Hours)")</f>
        <v/>
      </c>
      <c r="D45" s="68"/>
      <c r="E45" s="68"/>
      <c r="F45" s="4" t="str">
        <f>IF(VALUE(Logs!B45)=0,"",VALUE(Logs!B45))</f>
        <v/>
      </c>
      <c r="G45" s="5" t="str">
        <f>IF(VALUE(Logs!C45)=0,"",VALUE(Logs!C45))</f>
        <v/>
      </c>
    </row>
    <row r="46" spans="1:7" x14ac:dyDescent="0.25">
      <c r="A46" s="8" t="str">
        <f>IF(TEXT(Logs!B46,"0000")="0000","",TIMEVALUE(REPLACE(TEXT(Logs!B46,"0000"),3,0,":")))</f>
        <v/>
      </c>
      <c r="B46" s="44" t="str">
        <f>IF(TEXT(Logs!C46,"0000")="0000","",TIMEVALUE(REPLACE(TEXT(Logs!C46,"0000"),3,0,":")))</f>
        <v/>
      </c>
      <c r="C46" s="33" t="str">
        <f>IF(OR(Logs!A46="",Logs!D46=""),"","From "&amp;TEXT(Logs!B46,"0000")&amp;" to "&amp;TEXT(Logs!C46, "0000")&amp;" - "&amp;Logs!A46&amp; " ("&amp;TEXT(Logs!E46,"0.00")&amp;" Hours)")</f>
        <v/>
      </c>
      <c r="D46" s="68"/>
      <c r="E46" s="68"/>
      <c r="F46" s="4" t="str">
        <f>IF(VALUE(Logs!B46)=0,"",VALUE(Logs!B46))</f>
        <v/>
      </c>
      <c r="G46" s="5" t="str">
        <f>IF(VALUE(Logs!C46)=0,"",VALUE(Logs!C46))</f>
        <v/>
      </c>
    </row>
    <row r="47" spans="1:7" x14ac:dyDescent="0.25">
      <c r="A47" s="8" t="str">
        <f>IF(TEXT(Logs!B47,"0000")="0000","",TIMEVALUE(REPLACE(TEXT(Logs!B47,"0000"),3,0,":")))</f>
        <v/>
      </c>
      <c r="B47" s="44" t="str">
        <f>IF(TEXT(Logs!C47,"0000")="0000","",TIMEVALUE(REPLACE(TEXT(Logs!C47,"0000"),3,0,":")))</f>
        <v/>
      </c>
      <c r="C47" s="33" t="str">
        <f>IF(OR(Logs!A47="",Logs!D47=""),"","From "&amp;TEXT(Logs!B47,"0000")&amp;" to "&amp;TEXT(Logs!C47, "0000")&amp;" - "&amp;Logs!A47&amp; " ("&amp;TEXT(Logs!E47,"0.00")&amp;" Hours)")</f>
        <v/>
      </c>
      <c r="D47" s="68"/>
      <c r="E47" s="68"/>
      <c r="F47" s="4" t="str">
        <f>IF(VALUE(Logs!B47)=0,"",VALUE(Logs!B47))</f>
        <v/>
      </c>
      <c r="G47" s="5" t="str">
        <f>IF(VALUE(Logs!C47)=0,"",VALUE(Logs!C47))</f>
        <v/>
      </c>
    </row>
    <row r="48" spans="1:7" x14ac:dyDescent="0.25">
      <c r="A48" s="8" t="str">
        <f>IF(TEXT(Logs!B48,"0000")="0000","",TIMEVALUE(REPLACE(TEXT(Logs!B48,"0000"),3,0,":")))</f>
        <v/>
      </c>
      <c r="B48" s="44" t="str">
        <f>IF(TEXT(Logs!C48,"0000")="0000","",TIMEVALUE(REPLACE(TEXT(Logs!C48,"0000"),3,0,":")))</f>
        <v/>
      </c>
      <c r="C48" s="33" t="str">
        <f>IF(OR(Logs!A48="",Logs!D48=""),"","From "&amp;TEXT(Logs!B48,"0000")&amp;" to "&amp;TEXT(Logs!C48, "0000")&amp;" - "&amp;Logs!A48&amp; " ("&amp;TEXT(Logs!E48,"0.00")&amp;" Hours)")</f>
        <v/>
      </c>
      <c r="D48" s="68"/>
      <c r="E48" s="68"/>
      <c r="F48" s="4" t="str">
        <f>IF(VALUE(Logs!B48)=0,"",VALUE(Logs!B48))</f>
        <v/>
      </c>
      <c r="G48" s="5" t="str">
        <f>IF(VALUE(Logs!C48)=0,"",VALUE(Logs!C48))</f>
        <v/>
      </c>
    </row>
    <row r="49" spans="1:7" x14ac:dyDescent="0.25">
      <c r="A49" s="8" t="str">
        <f>IF(TEXT(Logs!B49,"0000")="0000","",TIMEVALUE(REPLACE(TEXT(Logs!B49,"0000"),3,0,":")))</f>
        <v/>
      </c>
      <c r="B49" s="44" t="str">
        <f>IF(TEXT(Logs!C49,"0000")="0000","",TIMEVALUE(REPLACE(TEXT(Logs!C49,"0000"),3,0,":")))</f>
        <v/>
      </c>
      <c r="C49" s="33" t="str">
        <f>IF(OR(Logs!A49="",Logs!D49=""),"","From "&amp;TEXT(Logs!B49,"0000")&amp;" to "&amp;TEXT(Logs!C49, "0000")&amp;" - "&amp;Logs!A49&amp; " ("&amp;TEXT(Logs!E49,"0.00")&amp;" Hours)")</f>
        <v/>
      </c>
      <c r="D49" s="68"/>
      <c r="E49" s="68"/>
      <c r="F49" s="4" t="str">
        <f>IF(VALUE(Logs!B49)=0,"",VALUE(Logs!B49))</f>
        <v/>
      </c>
      <c r="G49" s="5" t="str">
        <f>IF(VALUE(Logs!C49)=0,"",VALUE(Logs!C49))</f>
        <v/>
      </c>
    </row>
    <row r="50" spans="1:7" x14ac:dyDescent="0.25">
      <c r="A50" s="8" t="str">
        <f>IF(TEXT(Logs!B50,"0000")="0000","",TIMEVALUE(REPLACE(TEXT(Logs!B50,"0000"),3,0,":")))</f>
        <v/>
      </c>
      <c r="B50" s="44" t="str">
        <f>IF(TEXT(Logs!C50,"0000")="0000","",TIMEVALUE(REPLACE(TEXT(Logs!C50,"0000"),3,0,":")))</f>
        <v/>
      </c>
      <c r="C50" s="33" t="str">
        <f>IF(OR(Logs!A50="",Logs!D50=""),"","From "&amp;TEXT(Logs!B50,"0000")&amp;" to "&amp;TEXT(Logs!C50, "0000")&amp;" - "&amp;Logs!A50&amp; " ("&amp;TEXT(Logs!E50,"0.00")&amp;" Hours)")</f>
        <v/>
      </c>
      <c r="D50" s="68"/>
      <c r="E50" s="68"/>
      <c r="F50" s="4" t="str">
        <f>IF(VALUE(Logs!B50)=0,"",VALUE(Logs!B50))</f>
        <v/>
      </c>
      <c r="G50" s="5" t="str">
        <f>IF(VALUE(Logs!C50)=0,"",VALUE(Logs!C50))</f>
        <v/>
      </c>
    </row>
    <row r="51" spans="1:7" ht="15.75" thickBot="1" x14ac:dyDescent="0.3">
      <c r="A51" s="8" t="str">
        <f>IF(TEXT(Logs!B51,"0000")="0000","",TIMEVALUE(REPLACE(TEXT(Logs!B51,"0000"),3,0,":")))</f>
        <v/>
      </c>
      <c r="B51" s="44" t="str">
        <f>IF(TEXT(Logs!C51,"0000")="0000","",TIMEVALUE(REPLACE(TEXT(Logs!C51,"0000"),3,0,":")))</f>
        <v/>
      </c>
      <c r="C51" s="33" t="str">
        <f>IF(OR(Logs!A51="",Logs!D51=""),"","From "&amp;TEXT(Logs!B51,"0000")&amp;" to "&amp;TEXT(Logs!C51, "0000")&amp;" - "&amp;Logs!A51&amp; " ("&amp;TEXT(Logs!E51,"0.00")&amp;" Hours)")</f>
        <v/>
      </c>
      <c r="D51" s="68"/>
      <c r="E51" s="68"/>
      <c r="F51" s="4" t="str">
        <f>IF(VALUE(Logs!B51)=0,"",VALUE(Logs!B51))</f>
        <v/>
      </c>
      <c r="G51" s="5" t="str">
        <f>IF(VALUE(Logs!C51)=0,"",VALUE(Logs!C51))</f>
        <v/>
      </c>
    </row>
    <row r="52" spans="1:7" ht="15.75" thickBot="1" x14ac:dyDescent="0.3">
      <c r="A52" s="69" t="str">
        <f>IF(TEXT(Logs!B52,"0000")="","",TIMEVALUE(REPLACE(TEXT(Logs!B52,"0000"),3,0,":")))</f>
        <v/>
      </c>
      <c r="B52" s="70" t="str">
        <f>IF(TEXT(Logs!C52,"0000")="","",TIMEVALUE(REPLACE(TEXT(Logs!C52,"0000"),3,0,":")))</f>
        <v/>
      </c>
      <c r="C52" s="71" t="str">
        <f>IF(OR(Logs!A52="",Logs!D52=""),"", Logs!A52&amp;": From "&amp;TEXT(Logs!B52,"0000")&amp;" to "&amp;TEXT(Logs!C52, "0000")&amp;" ("&amp;TEXT(Logs!E52,"0.00")&amp;" Hours)")</f>
        <v/>
      </c>
      <c r="D52" s="72"/>
      <c r="E52" s="72"/>
      <c r="F52" s="73" t="e">
        <f>IF(VALUE(Logs!B52)=0,"",VALUE(Logs!B52))</f>
        <v>#VALUE!</v>
      </c>
      <c r="G52" s="74" t="e">
        <f>IF(VALUE(Logs!C52)=0,"",VALUE(Logs!C52))</f>
        <v>#VALUE!</v>
      </c>
    </row>
    <row r="53" spans="1:7" ht="15.75" thickBot="1" x14ac:dyDescent="0.3">
      <c r="A53" s="69" t="s">
        <v>44</v>
      </c>
      <c r="B53" s="70" t="s">
        <v>44</v>
      </c>
      <c r="C53" s="71" t="str">
        <f>IF(OR(Logs!B84="",Logs!C84=""),"",Logs!A84&amp;" - "&amp;TEXT(Logs!B84,"hh:mm"))&amp;" ("&amp;TEXT(Logs!C84,"0.00")&amp;") Hours"</f>
        <v xml:space="preserve"> () Hours</v>
      </c>
      <c r="D53" s="72" t="s">
        <v>44</v>
      </c>
      <c r="E53" s="72" t="s">
        <v>44</v>
      </c>
      <c r="F53" s="73" t="s">
        <v>44</v>
      </c>
      <c r="G53" s="74" t="s">
        <v>44</v>
      </c>
    </row>
    <row r="54" spans="1:7" ht="15.75" thickBot="1" x14ac:dyDescent="0.3">
      <c r="A54" s="69" t="e">
        <f>(B52-A52)-Logs!B84</f>
        <v>#VALUE!</v>
      </c>
      <c r="B54" s="70" t="s">
        <v>44</v>
      </c>
      <c r="C54" s="71" t="e">
        <f>IF(OR(Logs!B84="",Logs!C84=""),"","TIME NOT LOGGED - "&amp;TEXT(A54,"hh:mm"))&amp;" ("&amp;TEXT((A54*24),"0.00")&amp;") Hours"</f>
        <v>#VALUE!</v>
      </c>
      <c r="D54" s="72" t="s">
        <v>44</v>
      </c>
      <c r="E54" s="72" t="s">
        <v>44</v>
      </c>
      <c r="F54" s="73" t="s">
        <v>44</v>
      </c>
      <c r="G54" s="74" t="s">
        <v>44</v>
      </c>
    </row>
    <row r="55" spans="1:7" x14ac:dyDescent="0.25">
      <c r="C55" s="75"/>
    </row>
  </sheetData>
  <sheetProtection sheet="1" objects="1" scenarios="1" sort="0" autoFilter="0"/>
  <sortState xmlns:xlrd2="http://schemas.microsoft.com/office/spreadsheetml/2017/richdata2" ref="D2:E51">
    <sortCondition ref="D1"/>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51"/>
  <sheetViews>
    <sheetView workbookViewId="0">
      <selection activeCell="C2" sqref="C2:D2"/>
    </sheetView>
  </sheetViews>
  <sheetFormatPr defaultColWidth="9.140625" defaultRowHeight="15" x14ac:dyDescent="0.25"/>
  <cols>
    <col min="1" max="1" width="25.7109375" style="34" customWidth="1"/>
    <col min="2" max="5" width="9.140625" style="34"/>
    <col min="6" max="6" width="15.7109375" style="34" customWidth="1"/>
    <col min="7" max="7" width="9.140625" style="34"/>
    <col min="8" max="13" width="12.5703125" style="34" customWidth="1"/>
    <col min="14" max="16384" width="9.140625" style="34"/>
  </cols>
  <sheetData>
    <row r="1" spans="1:13" ht="15.75" thickBot="1" x14ac:dyDescent="0.3">
      <c r="A1" s="39" t="s">
        <v>33</v>
      </c>
      <c r="C1" s="127" t="s">
        <v>40</v>
      </c>
      <c r="D1" s="128"/>
      <c r="F1" s="37" t="s">
        <v>2</v>
      </c>
      <c r="H1" s="104" t="s">
        <v>25</v>
      </c>
      <c r="I1" s="105"/>
      <c r="J1" s="105"/>
      <c r="K1" s="105"/>
      <c r="L1" s="105"/>
      <c r="M1" s="106"/>
    </row>
    <row r="2" spans="1:13" ht="15.75" thickBot="1" x14ac:dyDescent="0.3">
      <c r="A2" s="35" t="s">
        <v>28</v>
      </c>
      <c r="C2" s="125" t="s">
        <v>48</v>
      </c>
      <c r="D2" s="126"/>
      <c r="F2" s="38"/>
      <c r="H2" s="107" t="s">
        <v>26</v>
      </c>
      <c r="I2" s="108"/>
      <c r="J2" s="108"/>
      <c r="K2" s="108"/>
      <c r="L2" s="108"/>
      <c r="M2" s="109"/>
    </row>
    <row r="3" spans="1:13" x14ac:dyDescent="0.25">
      <c r="A3" s="36" t="s">
        <v>29</v>
      </c>
      <c r="H3" s="110"/>
      <c r="I3" s="111"/>
      <c r="J3" s="111"/>
      <c r="K3" s="111"/>
      <c r="L3" s="111"/>
      <c r="M3" s="112"/>
    </row>
    <row r="4" spans="1:13" ht="15.75" thickBot="1" x14ac:dyDescent="0.3">
      <c r="A4" s="36" t="s">
        <v>42</v>
      </c>
      <c r="H4" s="113"/>
      <c r="I4" s="114"/>
      <c r="J4" s="114"/>
      <c r="K4" s="114"/>
      <c r="L4" s="114"/>
      <c r="M4" s="115"/>
    </row>
    <row r="5" spans="1:13" ht="15.75" thickBot="1" x14ac:dyDescent="0.3">
      <c r="A5" s="36" t="s">
        <v>34</v>
      </c>
    </row>
    <row r="6" spans="1:13" x14ac:dyDescent="0.25">
      <c r="A6" s="36" t="s">
        <v>30</v>
      </c>
      <c r="H6" s="116" t="s">
        <v>27</v>
      </c>
      <c r="I6" s="117"/>
      <c r="J6" s="117"/>
      <c r="K6" s="117"/>
      <c r="L6" s="117"/>
      <c r="M6" s="118"/>
    </row>
    <row r="7" spans="1:13" x14ac:dyDescent="0.25">
      <c r="A7" s="40" t="s">
        <v>1</v>
      </c>
      <c r="H7" s="119" t="s">
        <v>45</v>
      </c>
      <c r="I7" s="120"/>
      <c r="J7" s="120"/>
      <c r="K7" s="120"/>
      <c r="L7" s="120"/>
      <c r="M7" s="121"/>
    </row>
    <row r="8" spans="1:13" x14ac:dyDescent="0.25">
      <c r="A8" s="36" t="s">
        <v>47</v>
      </c>
      <c r="H8" s="119"/>
      <c r="I8" s="120"/>
      <c r="J8" s="120"/>
      <c r="K8" s="120"/>
      <c r="L8" s="120"/>
      <c r="M8" s="121"/>
    </row>
    <row r="9" spans="1:13" ht="15" customHeight="1" x14ac:dyDescent="0.25">
      <c r="A9" s="36" t="s">
        <v>35</v>
      </c>
      <c r="H9" s="119"/>
      <c r="I9" s="120"/>
      <c r="J9" s="120"/>
      <c r="K9" s="120"/>
      <c r="L9" s="120"/>
      <c r="M9" s="121"/>
    </row>
    <row r="10" spans="1:13" x14ac:dyDescent="0.25">
      <c r="A10" s="40" t="s">
        <v>31</v>
      </c>
      <c r="H10" s="119"/>
      <c r="I10" s="120"/>
      <c r="J10" s="120"/>
      <c r="K10" s="120"/>
      <c r="L10" s="120"/>
      <c r="M10" s="121"/>
    </row>
    <row r="11" spans="1:13" x14ac:dyDescent="0.25">
      <c r="A11" s="41" t="s">
        <v>46</v>
      </c>
      <c r="H11" s="119"/>
      <c r="I11" s="120"/>
      <c r="J11" s="120"/>
      <c r="K11" s="120"/>
      <c r="L11" s="120"/>
      <c r="M11" s="121"/>
    </row>
    <row r="12" spans="1:13" x14ac:dyDescent="0.25">
      <c r="A12" s="41" t="s">
        <v>39</v>
      </c>
      <c r="H12" s="119"/>
      <c r="I12" s="120"/>
      <c r="J12" s="120"/>
      <c r="K12" s="120"/>
      <c r="L12" s="120"/>
      <c r="M12" s="121"/>
    </row>
    <row r="13" spans="1:13" x14ac:dyDescent="0.25">
      <c r="A13" s="40" t="s">
        <v>24</v>
      </c>
      <c r="H13" s="119"/>
      <c r="I13" s="120"/>
      <c r="J13" s="120"/>
      <c r="K13" s="120"/>
      <c r="L13" s="120"/>
      <c r="M13" s="121"/>
    </row>
    <row r="14" spans="1:13" x14ac:dyDescent="0.25">
      <c r="A14" s="41" t="s">
        <v>32</v>
      </c>
      <c r="H14" s="119"/>
      <c r="I14" s="120"/>
      <c r="J14" s="120"/>
      <c r="K14" s="120"/>
      <c r="L14" s="120"/>
      <c r="M14" s="121"/>
    </row>
    <row r="15" spans="1:13" x14ac:dyDescent="0.25">
      <c r="A15" s="41" t="s">
        <v>41</v>
      </c>
      <c r="H15" s="119"/>
      <c r="I15" s="120"/>
      <c r="J15" s="120"/>
      <c r="K15" s="120"/>
      <c r="L15" s="120"/>
      <c r="M15" s="121"/>
    </row>
    <row r="16" spans="1:13" x14ac:dyDescent="0.25">
      <c r="A16" s="41"/>
      <c r="H16" s="119"/>
      <c r="I16" s="120"/>
      <c r="J16" s="120"/>
      <c r="K16" s="120"/>
      <c r="L16" s="120"/>
      <c r="M16" s="121"/>
    </row>
    <row r="17" spans="1:13" x14ac:dyDescent="0.25">
      <c r="A17" s="41"/>
      <c r="H17" s="119"/>
      <c r="I17" s="120"/>
      <c r="J17" s="120"/>
      <c r="K17" s="120"/>
      <c r="L17" s="120"/>
      <c r="M17" s="121"/>
    </row>
    <row r="18" spans="1:13" x14ac:dyDescent="0.25">
      <c r="A18" s="41"/>
      <c r="H18" s="119"/>
      <c r="I18" s="120"/>
      <c r="J18" s="120"/>
      <c r="K18" s="120"/>
      <c r="L18" s="120"/>
      <c r="M18" s="121"/>
    </row>
    <row r="19" spans="1:13" x14ac:dyDescent="0.25">
      <c r="A19" s="41"/>
      <c r="H19" s="119"/>
      <c r="I19" s="120"/>
      <c r="J19" s="120"/>
      <c r="K19" s="120"/>
      <c r="L19" s="120"/>
      <c r="M19" s="121"/>
    </row>
    <row r="20" spans="1:13" x14ac:dyDescent="0.25">
      <c r="A20" s="41"/>
      <c r="H20" s="119"/>
      <c r="I20" s="120"/>
      <c r="J20" s="120"/>
      <c r="K20" s="120"/>
      <c r="L20" s="120"/>
      <c r="M20" s="121"/>
    </row>
    <row r="21" spans="1:13" x14ac:dyDescent="0.25">
      <c r="A21" s="41"/>
      <c r="H21" s="119"/>
      <c r="I21" s="120"/>
      <c r="J21" s="120"/>
      <c r="K21" s="120"/>
      <c r="L21" s="120"/>
      <c r="M21" s="121"/>
    </row>
    <row r="22" spans="1:13" x14ac:dyDescent="0.25">
      <c r="A22" s="41"/>
      <c r="H22" s="119"/>
      <c r="I22" s="120"/>
      <c r="J22" s="120"/>
      <c r="K22" s="120"/>
      <c r="L22" s="120"/>
      <c r="M22" s="121"/>
    </row>
    <row r="23" spans="1:13" x14ac:dyDescent="0.25">
      <c r="A23" s="41"/>
      <c r="H23" s="119"/>
      <c r="I23" s="120"/>
      <c r="J23" s="120"/>
      <c r="K23" s="120"/>
      <c r="L23" s="120"/>
      <c r="M23" s="121"/>
    </row>
    <row r="24" spans="1:13" x14ac:dyDescent="0.25">
      <c r="A24" s="41"/>
      <c r="H24" s="119"/>
      <c r="I24" s="120"/>
      <c r="J24" s="120"/>
      <c r="K24" s="120"/>
      <c r="L24" s="120"/>
      <c r="M24" s="121"/>
    </row>
    <row r="25" spans="1:13" x14ac:dyDescent="0.25">
      <c r="A25" s="41"/>
      <c r="H25" s="119"/>
      <c r="I25" s="120"/>
      <c r="J25" s="120"/>
      <c r="K25" s="120"/>
      <c r="L25" s="120"/>
      <c r="M25" s="121"/>
    </row>
    <row r="26" spans="1:13" x14ac:dyDescent="0.25">
      <c r="A26" s="41"/>
      <c r="H26" s="119"/>
      <c r="I26" s="120"/>
      <c r="J26" s="120"/>
      <c r="K26" s="120"/>
      <c r="L26" s="120"/>
      <c r="M26" s="121"/>
    </row>
    <row r="27" spans="1:13" x14ac:dyDescent="0.25">
      <c r="A27" s="41"/>
      <c r="H27" s="119"/>
      <c r="I27" s="120"/>
      <c r="J27" s="120"/>
      <c r="K27" s="120"/>
      <c r="L27" s="120"/>
      <c r="M27" s="121"/>
    </row>
    <row r="28" spans="1:13" x14ac:dyDescent="0.25">
      <c r="A28" s="41"/>
      <c r="H28" s="119"/>
      <c r="I28" s="120"/>
      <c r="J28" s="120"/>
      <c r="K28" s="120"/>
      <c r="L28" s="120"/>
      <c r="M28" s="121"/>
    </row>
    <row r="29" spans="1:13" x14ac:dyDescent="0.25">
      <c r="A29" s="41"/>
      <c r="H29" s="119"/>
      <c r="I29" s="120"/>
      <c r="J29" s="120"/>
      <c r="K29" s="120"/>
      <c r="L29" s="120"/>
      <c r="M29" s="121"/>
    </row>
    <row r="30" spans="1:13" x14ac:dyDescent="0.25">
      <c r="A30" s="41"/>
      <c r="H30" s="119"/>
      <c r="I30" s="120"/>
      <c r="J30" s="120"/>
      <c r="K30" s="120"/>
      <c r="L30" s="120"/>
      <c r="M30" s="121"/>
    </row>
    <row r="31" spans="1:13" x14ac:dyDescent="0.25">
      <c r="A31" s="41"/>
      <c r="H31" s="119"/>
      <c r="I31" s="120"/>
      <c r="J31" s="120"/>
      <c r="K31" s="120"/>
      <c r="L31" s="120"/>
      <c r="M31" s="121"/>
    </row>
    <row r="32" spans="1:13" x14ac:dyDescent="0.25">
      <c r="A32" s="41"/>
      <c r="H32" s="119"/>
      <c r="I32" s="120"/>
      <c r="J32" s="120"/>
      <c r="K32" s="120"/>
      <c r="L32" s="120"/>
      <c r="M32" s="121"/>
    </row>
    <row r="33" spans="1:13" x14ac:dyDescent="0.25">
      <c r="A33" s="41"/>
      <c r="H33" s="119"/>
      <c r="I33" s="120"/>
      <c r="J33" s="120"/>
      <c r="K33" s="120"/>
      <c r="L33" s="120"/>
      <c r="M33" s="121"/>
    </row>
    <row r="34" spans="1:13" ht="15.75" thickBot="1" x14ac:dyDescent="0.3">
      <c r="A34" s="41"/>
      <c r="H34" s="122"/>
      <c r="I34" s="123"/>
      <c r="J34" s="123"/>
      <c r="K34" s="123"/>
      <c r="L34" s="123"/>
      <c r="M34" s="124"/>
    </row>
    <row r="35" spans="1:13" x14ac:dyDescent="0.25">
      <c r="A35" s="41"/>
    </row>
    <row r="36" spans="1:13" x14ac:dyDescent="0.25">
      <c r="A36" s="41"/>
    </row>
    <row r="37" spans="1:13" x14ac:dyDescent="0.25">
      <c r="A37" s="41"/>
    </row>
    <row r="38" spans="1:13" x14ac:dyDescent="0.25">
      <c r="A38" s="41"/>
    </row>
    <row r="39" spans="1:13" x14ac:dyDescent="0.25">
      <c r="A39" s="41"/>
    </row>
    <row r="40" spans="1:13" x14ac:dyDescent="0.25">
      <c r="A40" s="41"/>
    </row>
    <row r="41" spans="1:13" x14ac:dyDescent="0.25">
      <c r="A41" s="41"/>
    </row>
    <row r="42" spans="1:13" x14ac:dyDescent="0.25">
      <c r="A42" s="41"/>
    </row>
    <row r="43" spans="1:13" x14ac:dyDescent="0.25">
      <c r="A43" s="41"/>
    </row>
    <row r="44" spans="1:13" x14ac:dyDescent="0.25">
      <c r="A44" s="41"/>
    </row>
    <row r="45" spans="1:13" x14ac:dyDescent="0.25">
      <c r="A45" s="41"/>
    </row>
    <row r="46" spans="1:13" x14ac:dyDescent="0.25">
      <c r="A46" s="41"/>
    </row>
    <row r="47" spans="1:13" x14ac:dyDescent="0.25">
      <c r="A47" s="41"/>
    </row>
    <row r="48" spans="1:13" x14ac:dyDescent="0.25">
      <c r="A48" s="41"/>
    </row>
    <row r="49" spans="1:1" x14ac:dyDescent="0.25">
      <c r="A49" s="41"/>
    </row>
    <row r="50" spans="1:1" x14ac:dyDescent="0.25">
      <c r="A50" s="41"/>
    </row>
    <row r="51" spans="1:1" ht="15.75" thickBot="1" x14ac:dyDescent="0.3">
      <c r="A51" s="42"/>
    </row>
  </sheetData>
  <sheetProtection sheet="1" objects="1" scenarios="1" selectLockedCells="1" sort="0" autoFilter="0"/>
  <sortState xmlns:xlrd2="http://schemas.microsoft.com/office/spreadsheetml/2017/richdata2" ref="A3:A14">
    <sortCondition ref="A14"/>
  </sortState>
  <mergeCells count="6">
    <mergeCell ref="H1:M1"/>
    <mergeCell ref="H2:M4"/>
    <mergeCell ref="H6:M6"/>
    <mergeCell ref="H7:M34"/>
    <mergeCell ref="C2:D2"/>
    <mergeCell ref="C1:D1"/>
  </mergeCells>
  <pageMargins left="0.7" right="0.7" top="0.75" bottom="0.75" header="0.3" footer="0.3"/>
  <pageSetup paperSize="11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Change_Password">
                <anchor moveWithCells="1" sizeWithCells="1">
                  <from>
                    <xdr:col>5</xdr:col>
                    <xdr:colOff>95250</xdr:colOff>
                    <xdr:row>3</xdr:row>
                    <xdr:rowOff>76200</xdr:rowOff>
                  </from>
                  <to>
                    <xdr:col>5</xdr:col>
                    <xdr:colOff>933450</xdr:colOff>
                    <xdr:row>5</xdr:row>
                    <xdr:rowOff>104775</xdr:rowOff>
                  </to>
                </anchor>
              </controlPr>
            </control>
          </mc:Choice>
        </mc:AlternateContent>
        <mc:AlternateContent xmlns:mc="http://schemas.openxmlformats.org/markup-compatibility/2006">
          <mc:Choice Requires="x14">
            <control shapeId="4099" r:id="rId5" name="ExtDevMd">
              <controlPr defaultSize="0" print="0" autoFill="0" autoPict="0" macro="[0]!Toggle_DevMode">
                <anchor moveWithCells="1" sizeWithCells="1">
                  <from>
                    <xdr:col>13</xdr:col>
                    <xdr:colOff>190500</xdr:colOff>
                    <xdr:row>1</xdr:row>
                    <xdr:rowOff>76200</xdr:rowOff>
                  </from>
                  <to>
                    <xdr:col>14</xdr:col>
                    <xdr:colOff>209550</xdr:colOff>
                    <xdr:row>3</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Welcome</vt:lpstr>
    </vt:vector>
  </TitlesOfParts>
  <Company>Collins Aerospace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Jeffreys, Duncan</dc:creator>
  <cp:lastModifiedBy>Jeffreys, Duncan                            Collins</cp:lastModifiedBy>
  <dcterms:created xsi:type="dcterms:W3CDTF">2021-03-09T19:36:23Z</dcterms:created>
  <dcterms:modified xsi:type="dcterms:W3CDTF">2022-03-23T22:45:15Z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447dd6a-a4a1-440b-a6a3-9124ef1ee017_Enabled">
    <vt:lpwstr>true</vt:lpwstr>
  </property>
  <property fmtid="{D5CDD505-2E9C-101B-9397-08002B2CF9AE}" pid="3" name="MSIP_Label_4447dd6a-a4a1-440b-a6a3-9124ef1ee017_SetDate">
    <vt:lpwstr>2021-11-08T13:31:17Z</vt:lpwstr>
  </property>
  <property fmtid="{D5CDD505-2E9C-101B-9397-08002B2CF9AE}" pid="4" name="MSIP_Label_4447dd6a-a4a1-440b-a6a3-9124ef1ee017_Method">
    <vt:lpwstr>Privileged</vt:lpwstr>
  </property>
  <property fmtid="{D5CDD505-2E9C-101B-9397-08002B2CF9AE}" pid="5" name="MSIP_Label_4447dd6a-a4a1-440b-a6a3-9124ef1ee017_Name">
    <vt:lpwstr>NO TECH DATA</vt:lpwstr>
  </property>
  <property fmtid="{D5CDD505-2E9C-101B-9397-08002B2CF9AE}" pid="6" name="MSIP_Label_4447dd6a-a4a1-440b-a6a3-9124ef1ee017_SiteId">
    <vt:lpwstr>7a18110d-ef9b-4274-acef-e62ab0fe28ed</vt:lpwstr>
  </property>
  <property fmtid="{D5CDD505-2E9C-101B-9397-08002B2CF9AE}" pid="7" name="MSIP_Label_4447dd6a-a4a1-440b-a6a3-9124ef1ee017_ActionId">
    <vt:lpwstr>d38680a0-e924-4eb1-8250-655cfa58404d</vt:lpwstr>
  </property>
  <property fmtid="{D5CDD505-2E9C-101B-9397-08002B2CF9AE}" pid="8" name="MSIP_Label_4447dd6a-a4a1-440b-a6a3-9124ef1ee017_ContentBits">
    <vt:lpwstr>0</vt:lpwstr>
  </property>
</Properties>
</file>